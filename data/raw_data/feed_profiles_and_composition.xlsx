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treimer\Documents\R-temp-files\climate_risks_to_fed_mariculture\data\raw_data\"/>
    </mc:Choice>
  </mc:AlternateContent>
  <xr:revisionPtr revIDLastSave="0" documentId="13_ncr:1_{49FE671A-7020-428A-9874-7740CD564589}" xr6:coauthVersionLast="47" xr6:coauthVersionMax="47" xr10:uidLastSave="{00000000-0000-0000-0000-000000000000}"/>
  <bookViews>
    <workbookView xWindow="-108" yWindow="-108" windowWidth="23256" windowHeight="13896" activeTab="1" xr2:uid="{00000000-000D-0000-FFFF-FFFF00000000}"/>
  </bookViews>
  <sheets>
    <sheet name="feed_formulations" sheetId="1" r:id="rId1"/>
    <sheet name="feed_assignments" sheetId="3" r:id="rId2"/>
    <sheet name="progress" sheetId="4" r:id="rId3"/>
  </sheets>
  <definedNames>
    <definedName name="_xlnm._FilterDatabase" localSheetId="1" hidden="1">feed_assignments!$A$1:$F$300</definedName>
    <definedName name="_xlnm._FilterDatabase" localSheetId="0" hidden="1">feed_formulations!$A$1:$D$229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4" l="1"/>
  <c r="E13" i="4"/>
  <c r="F13" i="4"/>
  <c r="G13" i="4"/>
  <c r="H13" i="4"/>
  <c r="I13" i="4"/>
  <c r="J13" i="4"/>
  <c r="K13" i="4"/>
  <c r="L13" i="4"/>
  <c r="M13" i="4"/>
  <c r="N13" i="4"/>
  <c r="O13" i="4"/>
  <c r="P13" i="4"/>
  <c r="Q13" i="4"/>
  <c r="R13" i="4"/>
  <c r="C13" i="4"/>
  <c r="C12" i="4"/>
  <c r="C11" i="4"/>
  <c r="D11" i="4"/>
  <c r="E11" i="4"/>
  <c r="F11" i="4"/>
  <c r="G11" i="4"/>
  <c r="H11" i="4"/>
  <c r="I11" i="4"/>
  <c r="J11" i="4"/>
  <c r="K11" i="4"/>
  <c r="L11" i="4"/>
  <c r="M11" i="4"/>
  <c r="N11" i="4"/>
  <c r="O11" i="4"/>
  <c r="P11" i="4"/>
  <c r="C15" i="4" l="1"/>
  <c r="C14" i="4"/>
  <c r="E12" i="4"/>
  <c r="E14" i="4" s="1"/>
  <c r="H12" i="4"/>
  <c r="H14" i="4" s="1"/>
  <c r="P12" i="4"/>
  <c r="P14" i="4" s="1"/>
  <c r="L12" i="4"/>
  <c r="L14" i="4" s="1"/>
  <c r="K12" i="4"/>
  <c r="K14" i="4" s="1"/>
  <c r="M12" i="4"/>
  <c r="M14" i="4" s="1"/>
  <c r="R12" i="4"/>
  <c r="R14" i="4" s="1"/>
  <c r="O12" i="4"/>
  <c r="O14" i="4" s="1"/>
  <c r="I12" i="4"/>
  <c r="I14" i="4" s="1"/>
  <c r="J12" i="4"/>
  <c r="J14" i="4" s="1"/>
  <c r="F12" i="4"/>
  <c r="F14" i="4" s="1"/>
  <c r="N12" i="4"/>
  <c r="N14" i="4" s="1"/>
  <c r="Q12" i="4"/>
  <c r="Q14" i="4" s="1"/>
  <c r="G12" i="4"/>
  <c r="G14" i="4" s="1"/>
  <c r="D12" i="4"/>
  <c r="D14" i="4" s="1"/>
  <c r="C227" i="1"/>
  <c r="C16" i="4" l="1"/>
  <c r="C170" i="1"/>
  <c r="C132" i="1" l="1"/>
  <c r="C131" i="1"/>
  <c r="C159" i="1"/>
  <c r="C160" i="1"/>
  <c r="C158" i="1"/>
  <c r="C157" i="1"/>
  <c r="C130" i="1"/>
  <c r="C129" i="1"/>
  <c r="C101" i="1"/>
  <c r="C100" i="1" l="1"/>
  <c r="C98" i="1"/>
  <c r="C97" i="1"/>
  <c r="C99" i="1"/>
  <c r="C96" i="1"/>
</calcChain>
</file>

<file path=xl/sharedStrings.xml><?xml version="1.0" encoding="utf-8"?>
<sst xmlns="http://schemas.openxmlformats.org/spreadsheetml/2006/main" count="1517" uniqueCount="272">
  <si>
    <t>ingredient</t>
  </si>
  <si>
    <t>fishmeal-forage</t>
  </si>
  <si>
    <t>fish-oil-forage</t>
  </si>
  <si>
    <t>fishmeal-trimmings</t>
  </si>
  <si>
    <t>fish-oil-trimmings</t>
  </si>
  <si>
    <t>wheat</t>
  </si>
  <si>
    <t>peas-whole</t>
  </si>
  <si>
    <r>
      <rPr>
        <u/>
        <sz val="10"/>
        <color rgb="FF1155CC"/>
        <rFont val="Arial"/>
        <family val="2"/>
      </rPr>
      <t>Nankervis et al 2021</t>
    </r>
    <r>
      <rPr>
        <sz val="10"/>
        <color rgb="FF000000"/>
        <rFont val="Arial"/>
        <family val="2"/>
        <scheme val="minor"/>
      </rPr>
      <t xml:space="preserve"> - Suggest formulated feeds not widely adopted in groupr farming due to lack of trust in performance and purchasing costs</t>
    </r>
  </si>
  <si>
    <t>krill-meal</t>
  </si>
  <si>
    <t>corn-gluten-meal</t>
  </si>
  <si>
    <t>canola-oil</t>
  </si>
  <si>
    <t>linseed-oil</t>
  </si>
  <si>
    <t>soybean-oil</t>
  </si>
  <si>
    <t>coconut-oil</t>
  </si>
  <si>
    <t>soy-protein-concentrate</t>
  </si>
  <si>
    <t>wheat-gluten</t>
  </si>
  <si>
    <t>guar-meal</t>
  </si>
  <si>
    <t>faba-beans</t>
  </si>
  <si>
    <t>pea-protein-concentrate</t>
  </si>
  <si>
    <t>sunflower-meal</t>
  </si>
  <si>
    <t>pea-flour</t>
  </si>
  <si>
    <t>pea-starch</t>
  </si>
  <si>
    <t>poultry-meal</t>
  </si>
  <si>
    <t>soybean-meal</t>
  </si>
  <si>
    <t>peanut-meal</t>
  </si>
  <si>
    <t>squid-meal</t>
  </si>
  <si>
    <t>guar-gum</t>
  </si>
  <si>
    <t>trash-fish</t>
  </si>
  <si>
    <t>rice-bran</t>
  </si>
  <si>
    <t>feed</t>
  </si>
  <si>
    <t>proportion</t>
  </si>
  <si>
    <t>japanese_amberjack</t>
  </si>
  <si>
    <t>microingredients</t>
  </si>
  <si>
    <t>milkfish</t>
  </si>
  <si>
    <t>nile_tilapia</t>
  </si>
  <si>
    <t>olive_flounder</t>
  </si>
  <si>
    <t>tuna</t>
  </si>
  <si>
    <t>mud_crab</t>
  </si>
  <si>
    <t>whiteleg_shrimp</t>
  </si>
  <si>
    <t>tiger_prawn</t>
  </si>
  <si>
    <t>atlantic_salmon-norway</t>
  </si>
  <si>
    <t>atlantic_salmon-chile</t>
  </si>
  <si>
    <t>lupin-seed</t>
  </si>
  <si>
    <t>canola-meal</t>
  </si>
  <si>
    <t>feather-meal</t>
  </si>
  <si>
    <t>atlantic_salmon-uk</t>
  </si>
  <si>
    <t>atlantic_salmon-canada</t>
  </si>
  <si>
    <t>poultry-oil</t>
  </si>
  <si>
    <t>Vanuatu</t>
  </si>
  <si>
    <t>United Arab Emirates</t>
  </si>
  <si>
    <t>Turkey</t>
  </si>
  <si>
    <t>Tunisia</t>
  </si>
  <si>
    <t>Timor-Leste</t>
  </si>
  <si>
    <t>Suriname</t>
  </si>
  <si>
    <t>Singapore</t>
  </si>
  <si>
    <t>Seychelles</t>
  </si>
  <si>
    <t>Qatar</t>
  </si>
  <si>
    <t>Palau</t>
  </si>
  <si>
    <t>Pakistan</t>
  </si>
  <si>
    <t>Northern Mariana Islands</t>
  </si>
  <si>
    <t>Nigeria</t>
  </si>
  <si>
    <t>Lebanon</t>
  </si>
  <si>
    <t>Italy</t>
  </si>
  <si>
    <t>Guyana</t>
  </si>
  <si>
    <t>Guam</t>
  </si>
  <si>
    <t>Greece</t>
  </si>
  <si>
    <t>French Polynesia</t>
  </si>
  <si>
    <t>Dominican Republic</t>
  </si>
  <si>
    <t>Cyprus</t>
  </si>
  <si>
    <t>Cabo Verde</t>
  </si>
  <si>
    <t>Algeria</t>
  </si>
  <si>
    <t>Portugal</t>
  </si>
  <si>
    <t>Albania</t>
  </si>
  <si>
    <t>United Republic of Tanzania</t>
  </si>
  <si>
    <t>Spain</t>
  </si>
  <si>
    <t>Mozambique</t>
  </si>
  <si>
    <t>Ghana</t>
  </si>
  <si>
    <t>Fiji</t>
  </si>
  <si>
    <t>Brunei</t>
  </si>
  <si>
    <t>seabream</t>
  </si>
  <si>
    <t>Taiwan</t>
  </si>
  <si>
    <t>Saudi Arabia</t>
  </si>
  <si>
    <t>Palestine</t>
  </si>
  <si>
    <t>Montenegro</t>
  </si>
  <si>
    <t>Mauritius</t>
  </si>
  <si>
    <t>Kuwait</t>
  </si>
  <si>
    <t>Israel</t>
  </si>
  <si>
    <t>Hong Kong</t>
  </si>
  <si>
    <t>Bahrain</t>
  </si>
  <si>
    <t>South Africa</t>
  </si>
  <si>
    <t>rainbow_trout</t>
  </si>
  <si>
    <t>Republic of Korea</t>
  </si>
  <si>
    <t>Georgia</t>
  </si>
  <si>
    <t>Estonia</t>
  </si>
  <si>
    <t>Argentina</t>
  </si>
  <si>
    <t>Peru</t>
  </si>
  <si>
    <t>Sri Lanka</t>
  </si>
  <si>
    <t>Senegal</t>
  </si>
  <si>
    <t>Saint Kitts and Nevis</t>
  </si>
  <si>
    <t>Samoa</t>
  </si>
  <si>
    <t>Papua New Guinea</t>
  </si>
  <si>
    <t>Madagascar</t>
  </si>
  <si>
    <t>Kenya</t>
  </si>
  <si>
    <t>Cambodia</t>
  </si>
  <si>
    <t>Tuvalu</t>
  </si>
  <si>
    <t>Solomon Islands</t>
  </si>
  <si>
    <t>Nauru</t>
  </si>
  <si>
    <t>Kiribati</t>
  </si>
  <si>
    <t>United States of America</t>
  </si>
  <si>
    <t>Panama</t>
  </si>
  <si>
    <t>grouper</t>
  </si>
  <si>
    <t>Philippines</t>
  </si>
  <si>
    <t>Myanmar</t>
  </si>
  <si>
    <t>Maldives</t>
  </si>
  <si>
    <t>golden_pompano</t>
  </si>
  <si>
    <t>european_seabass</t>
  </si>
  <si>
    <t>drum_croaker</t>
  </si>
  <si>
    <t>Morocco</t>
  </si>
  <si>
    <t>Mexico</t>
  </si>
  <si>
    <t>Mayotte</t>
  </si>
  <si>
    <t>Martinique</t>
  </si>
  <si>
    <t>Guadeloupe</t>
  </si>
  <si>
    <t>France</t>
  </si>
  <si>
    <t>Chile</t>
  </si>
  <si>
    <t>uk</t>
  </si>
  <si>
    <t>atlantic_salmon</t>
  </si>
  <si>
    <t>Iran</t>
  </si>
  <si>
    <t>Malaysia</t>
  </si>
  <si>
    <t>Thailand</t>
  </si>
  <si>
    <t>Indonesia</t>
  </si>
  <si>
    <t>Malta</t>
  </si>
  <si>
    <t>Egypt</t>
  </si>
  <si>
    <t>Cuba</t>
  </si>
  <si>
    <t>Oman</t>
  </si>
  <si>
    <t>Iceland</t>
  </si>
  <si>
    <t>Japan</t>
  </si>
  <si>
    <t>United Kingdom</t>
  </si>
  <si>
    <t>Croatia</t>
  </si>
  <si>
    <t>New Caledonia</t>
  </si>
  <si>
    <t>norway</t>
  </si>
  <si>
    <t>Finland</t>
  </si>
  <si>
    <t>Australia</t>
  </si>
  <si>
    <t>Russian Federation</t>
  </si>
  <si>
    <t>Guatemala</t>
  </si>
  <si>
    <t>Belize</t>
  </si>
  <si>
    <t>Sweden</t>
  </si>
  <si>
    <t>Denmark</t>
  </si>
  <si>
    <t>Bangladesh</t>
  </si>
  <si>
    <t>Colombia</t>
  </si>
  <si>
    <t>India</t>
  </si>
  <si>
    <t>canada</t>
  </si>
  <si>
    <t>Faroe Islands</t>
  </si>
  <si>
    <t>New Zealand</t>
  </si>
  <si>
    <t>China</t>
  </si>
  <si>
    <t>Nicaragua</t>
  </si>
  <si>
    <t>Costa Rica</t>
  </si>
  <si>
    <t>El Salvador</t>
  </si>
  <si>
    <t>Norway</t>
  </si>
  <si>
    <t>Honduras</t>
  </si>
  <si>
    <t>Ireland</t>
  </si>
  <si>
    <t>Venezuela</t>
  </si>
  <si>
    <t>Viet Nam</t>
  </si>
  <si>
    <t>Canada</t>
  </si>
  <si>
    <t>Brazil</t>
  </si>
  <si>
    <t>Ecuador</t>
  </si>
  <si>
    <t>chile</t>
  </si>
  <si>
    <t>model_name</t>
  </si>
  <si>
    <t>country</t>
  </si>
  <si>
    <t>farms</t>
  </si>
  <si>
    <t>feed_class</t>
  </si>
  <si>
    <t>notes</t>
  </si>
  <si>
    <t>Adapted from</t>
  </si>
  <si>
    <t>Pelletier et al. (2009). Not All Salmon Are Created Equal: Life Cycle Assessment (LCA) of Global Salmon Farming Systems. Environmental Science &amp; Technology, 43(23), 8730–8736. https://doi.org/10.1021/es9010114</t>
  </si>
  <si>
    <t>Chile chosen as reference due to similarity in latitude</t>
  </si>
  <si>
    <t>Aas, T. S. et al. (2022). Utilization of feed resources in the production of Atlantic salmon (Salmo salar) in Norway: An update for 2020. Aquaculture Reports, 26, 101316. https://doi.org/10.1016/j.aqrep.2022.101316</t>
  </si>
  <si>
    <t>rainbow_trout-norway</t>
  </si>
  <si>
    <t>world</t>
  </si>
  <si>
    <t>rainbow_trout-chile</t>
  </si>
  <si>
    <t>rainbow_trout-world</t>
  </si>
  <si>
    <t>FAO. (2025, April 27). Table 3: Feed formulae (ingredient composition) and proximate composition of commonly used formulated made feed for different life stages of rainbow trout in intensive farming system. https://web.archive.org/web/20250427095402/https://www.fao.org/fileadmin/user_upload/affris/docs/Trout/English/table_3.htm</t>
  </si>
  <si>
    <t>Serrano et al. (2021). Partially replacing fish oil with microalgae (Schizochytrium limacinum and Nannochloropsis oceanica) in diets for rainbow trout (Oncorhynchus mykiss) reared in saltwater with reference to growth performance, muscle fatty acid composition and liver ultrastructure. Aquaculture Research, 52(9), 4401–4413. https://doi.org/10.1111/are.15279</t>
  </si>
  <si>
    <t>Aas et al. (2022). Utilization of feed resources in the production of rainbow trout (Oncorhynchus mykiss) in Norway in 2020. Aquaculture Reports, 26, 101317. https://doi.org/10.1016/j.aqrep.2022.101317</t>
  </si>
  <si>
    <t>Notes</t>
  </si>
  <si>
    <t>Assumed same forage/trimmings ratio as fishmeal in norway trout diet</t>
  </si>
  <si>
    <t>Assumed same forage/trimmings ratio as fish oil in norway trout diet</t>
  </si>
  <si>
    <t>poultry-blood-meal</t>
  </si>
  <si>
    <t>Perera, E., Sánchez-Ruiz, D., Sáez, M. I., Galafat, A., Barany, A., Fernández-Castro, M., Vizcaíno, A. J., Fuentes, J., Martínez, T. F., Mancera, J. M., Alarcón, F. J., &amp; Martos-Sitcha, J. A. (2020). Low dietary inclusion of nutraceuticals from microalgae improves feed efficiency and modifies intermediary metabolisms in gilthead sea bream (Sparus aurata). Scientific Reports, 10(1), 18676. https://doi.org/10.1038/s41598-020-75693-3</t>
  </si>
  <si>
    <t>seabream-europe</t>
  </si>
  <si>
    <t>europe</t>
  </si>
  <si>
    <t>china</t>
  </si>
  <si>
    <t>Jin, M., Pan, T., Tocher, D. R., Betancor, M. B., Monroig, Ó., Shen, Y., Zhu, T., Sun, P., Jiao, L., &amp; Zhou, Q. (2019). Dietary choline supplementation attenuated high-fat diet-induced inflammation through regulation of lipid metabolism and suppression of NFκB activation in juvenile black seabream (Acanthopagrus schlegelii). Journal of Nutritional Science, 8, e38. https://doi.org/10.1017/jns.2019.34</t>
  </si>
  <si>
    <t>seabream-china</t>
  </si>
  <si>
    <t>cellulose</t>
  </si>
  <si>
    <t>Petereit, J., Hoerterer, C., Bischoff-Lang, A. A., Conceição, L. E. C., Pereira, G., Johansen, J., Pastres, R., &amp; Buck, B. H. (2022). Adult European Seabass (Dicentrarchus labrax) Perform Well on Alternative Circular-Economy-Driven Feed Formulations. Sustainability, 14(12), 7279. https://doi.org/10.3390/su14127279</t>
  </si>
  <si>
    <t>european_seabass-europe</t>
  </si>
  <si>
    <t>asian_seabass</t>
  </si>
  <si>
    <t>asian_seabass-china</t>
  </si>
  <si>
    <t>Wang, J., Mai, K., &amp; Ai, Q. (2022). Conventional Soybean Meal as Fishmeal Alternative in Diets of Japanese Seabass (Lateolabrax japonicus): Effects of Functional Additives on Growth, Immunity, Antioxidant Capacity and Disease Resistance. Antioxidants, 11(5), 951. https://doi.org/10.3390/antiox11050951</t>
  </si>
  <si>
    <t>philippines</t>
  </si>
  <si>
    <t>milkfish-philippines</t>
  </si>
  <si>
    <t>FAO. (2023, January 30). Table 7: Feed formulations (ingredient composition) and proximate composition of commonly used pellet feeds for different life stages of milkfish in semi-intensive and intensive farming systems. [Modified after AFFRIS: now archived]. https://web.archive.org/web/20230130091927/https://www.fao.org/fileadmin/user_upload/affris/docs/Milk_Fish/English/table_7.htm</t>
  </si>
  <si>
    <t>copra-meal</t>
  </si>
  <si>
    <t>wheat-bran</t>
  </si>
  <si>
    <t>meat-bone-meal</t>
  </si>
  <si>
    <t>cod-liver-oil</t>
  </si>
  <si>
    <t>Qin, Y., He, C., Wang, W., Yang, P., Wang, J., Qin, Q., Mai, K., &amp; Song, F. (2021). Changes in Growth Performance, Nutrient Metabolism, Antioxidant Defense and Immune Response After Fishmeal Was Replaced by Low-Gossypol Cottonseed Meal in Golden Pompano (Trachinotus ovatus). Frontiers in Marine Science, 8. https://doi.org/10.3389/fmars.2021.775575</t>
  </si>
  <si>
    <t>golden_pompano-china</t>
  </si>
  <si>
    <t>whiteleg_shrimp-china</t>
  </si>
  <si>
    <t>Li, M., Li, X., Yao, W., Wang, Y., Zhang, X., &amp; Leng, X. (2022). An Evaluation of Replacing Fishmeal with Chlorella Sorokiniana in the Diet of Pacific White Shrimp (Litopenaeus Vannamei): Growth, Body Color, and Flesh Quality. Aquaculture Nutrition, 2022(1), 8617265. https://doi.org/10.1155/2022/8617265</t>
  </si>
  <si>
    <t>ecuador</t>
  </si>
  <si>
    <t>whiteleg_shrimp-ecuador</t>
  </si>
  <si>
    <t>Méndez-Martínez, Y., Gucić, M., Martínez-Córdova, L. R., Civera-Cerecedo, R., Ricque-Marie, D., &amp; Cortés-Jacinto, E. (2021). Dry matter, protein, and energy digestibility of diets for juvenile Pacific white leg shrimps (Litopenaeus vannamei) reared at different salinity levels. Ciência Rural, 51(8), e20190636. https://doi.org/10.1590/0103-8478cr20190636</t>
  </si>
  <si>
    <t>whiteleg_shrimp-india</t>
  </si>
  <si>
    <t>cassava-meal</t>
  </si>
  <si>
    <t>palm-oil</t>
  </si>
  <si>
    <t>india</t>
  </si>
  <si>
    <t>indonesia</t>
  </si>
  <si>
    <t>Manikandan, K., &amp; Felix, N. (2021). Growth performance, apparent digestibility coefficients and digestive enzyme activities of Pacific white shrimp, Penaeus vannamei fed low fishmeal diets supplemented with DL-methionine and phytase. Aquaculture Nutrition, 27(6), 2240–2250. https://doi.org/10.1111/anu.13359</t>
  </si>
  <si>
    <t>whiteleg_shrimp-indonesia</t>
  </si>
  <si>
    <t>Novriadi, R., Herawati, V. E., Prayitno, S. B., Windarto, S., &amp; Tan, R. (2024). Evaluation of distiller’s dried grains with solubles in diets for Pacific white shrimp, Litopenaeus vannamei, reared under pond conditions. Journal of the World Aquaculture Society, 55(1), 62–76. https://doi.org/10.1111/jwas.13033</t>
  </si>
  <si>
    <t>Reunion</t>
  </si>
  <si>
    <t>Democratic People’s Republic of Korea</t>
  </si>
  <si>
    <t>squid-oil</t>
  </si>
  <si>
    <t>shrimp-meal</t>
  </si>
  <si>
    <t>Average of diets 3-7: https://www.fao.org/fileadmin/user_upload/affris/docs/MonoT4.pdf</t>
  </si>
  <si>
    <t>tiger_prawn-world</t>
  </si>
  <si>
    <t>shrimp-head-meal</t>
  </si>
  <si>
    <t>Takakuwa, F., Fukada, H., Hosokawa, H., &amp; Masumoto, T. (2006). Optimum digestible protein and energy levels and ratio for greater amberjack Seriola dumerili (Risso) fingerling. Aquaculture Research, 37(15), 1532–1539. https://doi.org/10.1111/j.1365-2109.2006.01590.x</t>
  </si>
  <si>
    <t>japan</t>
  </si>
  <si>
    <t>japanese_amberjack-japan</t>
  </si>
  <si>
    <t>TOTAL PROGRESS:</t>
  </si>
  <si>
    <t>Progress contribution</t>
  </si>
  <si>
    <t>Contribution</t>
  </si>
  <si>
    <t>Number of farms</t>
  </si>
  <si>
    <t>Done</t>
  </si>
  <si>
    <t>WIP</t>
  </si>
  <si>
    <t>Fill out all the feed parameters and assignment details in the supplementary file on Google Drive</t>
  </si>
  <si>
    <t>Fill out all the species parameters (raw and calibrated) in the supplementary file on Google Drive</t>
  </si>
  <si>
    <t xml:space="preserve">Run the production for the species, one feed_name at a time. </t>
  </si>
  <si>
    <t>Run the calibration step using the representative feed.</t>
  </si>
  <si>
    <t>Choose a "representative" feed to use when performing the calibration. This feed should probably be from the country with the most farms. You'll need to check that the names are correct in the feed formulations spreadsheet (both in the formulation and in the assignment sheets) AND that the correct feed name is referenced in the calibration document.</t>
  </si>
  <si>
    <t>Check that all the required ingredients for all feeds are filled out in the ingredients spreadsheet, and make sure that the names match.</t>
  </si>
  <si>
    <t>Make sure that all farms for this model_name have a feed name assigned in the feed formulations spreadsheet, and that each of these feed names has a complete formulation.</t>
  </si>
  <si>
    <t>Make sure the starting parameters are filled out (and sourced) in the species_parameters excel sheet.</t>
  </si>
  <si>
    <t>Steps for each model_name</t>
  </si>
  <si>
    <t>grouper-world</t>
  </si>
  <si>
    <t>Nankervis, L., Cobcroft, J. M., Nguyen, N. V., &amp; Rimmer, M. A. (2022). Advances in practical feed formulation and adoption for hybrid grouper (Epinephelus fuscoguttatus ♀ × E. lanceolatus ♂) aquaculture. Reviews in Aquaculture, 14(1), 288–307. https://doi.org/10.1111/raq.12598
Sim, S.-Y., Rimmer, M. A., Williams, K., Toledo, J. D., Sugama, K., Rumengan, I., &amp; Phillips, M. J. (2005). A Practical Guide to Feeds and Feed Management for Cultured Groupers (Nos. 2005–02; p. 18). Asia-Pacific Marine Finfish Aquaculture Network. https://enaca.org/?id=301</t>
  </si>
  <si>
    <t>nile_tilapia-thailand</t>
  </si>
  <si>
    <t>coconut-meal</t>
  </si>
  <si>
    <t>thailand</t>
  </si>
  <si>
    <t>FAO. (2023, January 15). Table 14. Feed formulae (ingredient composition) and proximate composition of commonly used farm-made feed (as fed basis) for different life stages of Nile tilapia in semi-intensive farming system, Thailand [Modified after AFFRIS: now archived]. https://web.archive.org/web/20230115081845/https://www.fao.org/fileadmin/user_upload/affris/docs/tilapiaT14.pdf</t>
  </si>
  <si>
    <t>drum_croaker-china</t>
  </si>
  <si>
    <t>amino-acids</t>
  </si>
  <si>
    <t>Wei, Z., Ma, J., Pan, X., Mu, H., Li, J., Shentu, J., Zhang, W., &amp; Mai, K. (2016). Dietary hydroxyproline improves the growth and muscle quality of large yellow croaker Larimichthys crocea. Aquaculture, 464, 497–504. https://doi.org/10.1016/j.aquaculture.2016.07.015</t>
  </si>
  <si>
    <t>mud_crab-world</t>
  </si>
  <si>
    <t>Zhan, Q., Han, T., Li, X., Wang, J., Yang, Y., Yu, X., Zheng, P., Liu, T., Xu, H., &amp; Wang, C. (2020). Effects of dietary carbohydrate levels on growth, body composition, and gene expression of key enzymes involved in hepatopancreas metabolism in mud crab Scylla paramamosain. Aquaculture, 529, 735638. https://doi.org/10.1016/j.aquaculture.2020.735638</t>
  </si>
  <si>
    <t>fish-protein-concentrate</t>
  </si>
  <si>
    <t>krill-oil</t>
  </si>
  <si>
    <t>algal-oil</t>
  </si>
  <si>
    <t>starch</t>
  </si>
  <si>
    <t>Betancor, M. B., Ortega, A., de la Gándara, F., Tocher, D. R., &amp; Mourente, G. (2019). Performance, feed utilization, and hepatic metabolic response of weaned juvenile Atlantic bluefin tuna (Thunnus thynnus L.): Effects of dietary lipid level and source. Fish Physiology and Biochemistry, 45(2), 697–718. https://doi.org/10.1007/s10695-018-0587-9</t>
  </si>
  <si>
    <t>ranch</t>
  </si>
  <si>
    <t>Report of the third meeting of the Ad Hoc GFCM/ICCAT Working Group on Sustainable Bluefin Tuna Farming/Fattening Practices in the Mediterranean (FAO Fisheries Report No. 779; 779, p. 108). (2005). Food and Agriculture Organization of the United Nations.</t>
  </si>
  <si>
    <t>olive_flounder-korea</t>
  </si>
  <si>
    <t>korea</t>
  </si>
  <si>
    <t>Islam, M. R., Cho, S. H., &amp; Kim, T. (2024). Inclusion effect of jack mackerel meal in diets substituting fish meal with corn gluten meal on growth and feed utilization of olive flounder (Paralichthys olivaceus). Frontiers in Sustainable Food Systems, 8. https://doi.org/10.3389/fsufs.2024.1414574</t>
  </si>
  <si>
    <t>CODE PROGRESS</t>
  </si>
  <si>
    <t>Code contribution</t>
  </si>
  <si>
    <t>tuna_full-japan</t>
  </si>
  <si>
    <t>tuna_ranch-ranch</t>
  </si>
  <si>
    <t>tuna_full</t>
  </si>
  <si>
    <t>tuna_ranch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</si>
</sst>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25"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Arial"/>
      <family val="2"/>
      <scheme val="minor"/>
    </font>
    <font>
      <sz val="10"/>
      <color theme="1"/>
      <name val="Arial"/>
      <family val="2"/>
      <scheme val="minor"/>
    </font>
    <font>
      <u/>
      <sz val="10"/>
      <color rgb="FF0000FF"/>
      <name val="Arial"/>
      <family val="2"/>
    </font>
    <font>
      <u/>
      <sz val="10"/>
      <color rgb="FF1155CC"/>
      <name val="Arial"/>
      <family val="2"/>
    </font>
    <font>
      <sz val="8"/>
      <name val="Arial"/>
      <family val="2"/>
      <scheme val="minor"/>
    </font>
    <font>
      <b/>
      <sz val="10"/>
      <color theme="1"/>
      <name val="Arial"/>
      <family val="2"/>
      <scheme val="minor"/>
    </font>
    <font>
      <sz val="10"/>
      <color rgb="FF000000"/>
      <name val="Arial"/>
      <family val="2"/>
      <scheme val="minor"/>
    </font>
    <font>
      <sz val="10"/>
      <name val="Arial"/>
      <family val="2"/>
    </font>
    <font>
      <sz val="10"/>
      <color rgb="FF000000"/>
      <name val="Arial"/>
      <scheme val="minor"/>
    </font>
    <font>
      <sz val="11"/>
      <color rgb="FF006100"/>
      <name val="Arial"/>
      <family val="2"/>
      <scheme val="minor"/>
    </font>
    <font>
      <b/>
      <sz val="11"/>
      <color theme="1"/>
      <name val="Arial"/>
      <family val="2"/>
      <scheme val="minor"/>
    </font>
    <font>
      <sz val="9"/>
      <color theme="1"/>
      <name val="Arial"/>
      <family val="2"/>
      <scheme val="minor"/>
    </font>
    <font>
      <b/>
      <sz val="14"/>
      <color theme="1"/>
      <name val="Arial"/>
      <family val="2"/>
      <scheme val="minor"/>
    </font>
  </fonts>
  <fills count="6">
    <fill>
      <patternFill patternType="none"/>
    </fill>
    <fill>
      <patternFill patternType="gray125"/>
    </fill>
    <fill>
      <patternFill patternType="solid">
        <fgColor theme="2" tint="-0.14999847407452621"/>
        <bgColor indexed="64"/>
      </patternFill>
    </fill>
    <fill>
      <patternFill patternType="solid">
        <fgColor rgb="FFC6EFCE"/>
      </patternFill>
    </fill>
    <fill>
      <patternFill patternType="solid">
        <fgColor theme="8" tint="0.79998168889431442"/>
        <bgColor indexed="64"/>
      </patternFill>
    </fill>
    <fill>
      <patternFill patternType="solid">
        <fgColor theme="0" tint="-0.14999847407452621"/>
        <bgColor indexed="64"/>
      </patternFill>
    </fill>
  </fills>
  <borders count="9">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6">
    <xf numFmtId="0" fontId="0" fillId="0" borderId="0"/>
    <xf numFmtId="0" fontId="11" fillId="0" borderId="0"/>
    <xf numFmtId="9" fontId="20" fillId="0" borderId="0" applyFont="0" applyFill="0" applyBorder="0" applyAlignment="0" applyProtection="0"/>
    <xf numFmtId="0" fontId="21" fillId="3" borderId="0" applyNumberFormat="0" applyBorder="0" applyAlignment="0" applyProtection="0"/>
    <xf numFmtId="0" fontId="10" fillId="0" borderId="0"/>
    <xf numFmtId="9" fontId="10" fillId="0" borderId="0" applyFont="0" applyFill="0" applyBorder="0" applyAlignment="0" applyProtection="0"/>
  </cellStyleXfs>
  <cellXfs count="54">
    <xf numFmtId="0" fontId="0" fillId="0" borderId="0" xfId="0"/>
    <xf numFmtId="0" fontId="12" fillId="0" borderId="0" xfId="0" applyFont="1"/>
    <xf numFmtId="0" fontId="13" fillId="0" borderId="0" xfId="0" applyFont="1"/>
    <xf numFmtId="0" fontId="14" fillId="0" borderId="0" xfId="0" applyFont="1"/>
    <xf numFmtId="0" fontId="17" fillId="0" borderId="0" xfId="0" applyFont="1"/>
    <xf numFmtId="0" fontId="18" fillId="0" borderId="0" xfId="0" applyFont="1"/>
    <xf numFmtId="0" fontId="11" fillId="0" borderId="0" xfId="1"/>
    <xf numFmtId="0" fontId="13" fillId="0" borderId="0" xfId="1" applyFont="1"/>
    <xf numFmtId="0" fontId="13" fillId="0" borderId="0" xfId="1" applyFont="1" applyAlignment="1">
      <alignment wrapText="1"/>
    </xf>
    <xf numFmtId="0" fontId="11" fillId="0" borderId="0" xfId="1" applyAlignment="1">
      <alignment wrapText="1"/>
    </xf>
    <xf numFmtId="0" fontId="13" fillId="2" borderId="0" xfId="1" applyFont="1" applyFill="1" applyAlignment="1">
      <alignment wrapText="1"/>
    </xf>
    <xf numFmtId="0" fontId="19" fillId="0" borderId="0" xfId="0" applyFont="1"/>
    <xf numFmtId="164" fontId="13" fillId="0" borderId="0" xfId="0" applyNumberFormat="1" applyFont="1"/>
    <xf numFmtId="165" fontId="0" fillId="0" borderId="0" xfId="2" applyNumberFormat="1" applyFont="1"/>
    <xf numFmtId="165" fontId="13" fillId="0" borderId="0" xfId="2" applyNumberFormat="1" applyFont="1"/>
    <xf numFmtId="2" fontId="0" fillId="0" borderId="0" xfId="0" applyNumberFormat="1"/>
    <xf numFmtId="0" fontId="10" fillId="0" borderId="0" xfId="4"/>
    <xf numFmtId="0" fontId="10" fillId="0" borderId="0" xfId="4" applyAlignment="1">
      <alignment wrapText="1"/>
    </xf>
    <xf numFmtId="165" fontId="22" fillId="0" borderId="0" xfId="5" applyNumberFormat="1" applyFont="1"/>
    <xf numFmtId="0" fontId="22" fillId="0" borderId="0" xfId="4" applyFont="1"/>
    <xf numFmtId="165" fontId="0" fillId="0" borderId="0" xfId="5" applyNumberFormat="1" applyFont="1"/>
    <xf numFmtId="0" fontId="0" fillId="0" borderId="0" xfId="5" applyNumberFormat="1" applyFont="1"/>
    <xf numFmtId="0" fontId="10" fillId="0" borderId="1" xfId="4" applyBorder="1"/>
    <xf numFmtId="0" fontId="10" fillId="0" borderId="2" xfId="4" applyBorder="1"/>
    <xf numFmtId="0" fontId="10" fillId="0" borderId="3" xfId="4" applyBorder="1"/>
    <xf numFmtId="0" fontId="10" fillId="4" borderId="0" xfId="4" applyFill="1" applyAlignment="1">
      <alignment wrapText="1"/>
    </xf>
    <xf numFmtId="0" fontId="10" fillId="4" borderId="0" xfId="4" applyFill="1"/>
    <xf numFmtId="0" fontId="10" fillId="0" borderId="4" xfId="4" applyBorder="1"/>
    <xf numFmtId="0" fontId="10" fillId="0" borderId="5" xfId="4" applyBorder="1"/>
    <xf numFmtId="0" fontId="10" fillId="0" borderId="6" xfId="4" applyBorder="1"/>
    <xf numFmtId="0" fontId="10" fillId="0" borderId="7" xfId="4" applyBorder="1"/>
    <xf numFmtId="0" fontId="21" fillId="3" borderId="8" xfId="3" applyBorder="1"/>
    <xf numFmtId="0" fontId="23" fillId="0" borderId="0" xfId="4" applyFont="1" applyAlignment="1">
      <alignment wrapText="1"/>
    </xf>
    <xf numFmtId="0" fontId="24" fillId="0" borderId="0" xfId="4" applyFont="1"/>
    <xf numFmtId="0" fontId="9" fillId="0" borderId="0" xfId="4" applyFont="1"/>
    <xf numFmtId="0" fontId="8" fillId="0" borderId="4" xfId="4" applyFont="1" applyBorder="1"/>
    <xf numFmtId="0" fontId="10" fillId="5" borderId="0" xfId="4" applyFill="1"/>
    <xf numFmtId="0" fontId="7" fillId="0" borderId="7" xfId="4" applyFont="1" applyBorder="1"/>
    <xf numFmtId="0" fontId="6" fillId="0" borderId="7" xfId="4" applyFont="1" applyBorder="1"/>
    <xf numFmtId="0" fontId="6" fillId="0" borderId="0" xfId="4" applyFont="1"/>
    <xf numFmtId="0" fontId="6" fillId="5" borderId="0" xfId="4" applyFont="1" applyFill="1"/>
    <xf numFmtId="0" fontId="5" fillId="0" borderId="0" xfId="4" applyFont="1"/>
    <xf numFmtId="0" fontId="10" fillId="0" borderId="2" xfId="4" applyBorder="1" applyAlignment="1">
      <alignment wrapText="1"/>
    </xf>
    <xf numFmtId="0" fontId="4" fillId="0" borderId="7" xfId="4" applyFont="1" applyBorder="1"/>
    <xf numFmtId="0" fontId="4" fillId="5" borderId="0" xfId="4" applyFont="1" applyFill="1"/>
    <xf numFmtId="0" fontId="4" fillId="0" borderId="0" xfId="4" applyFont="1"/>
    <xf numFmtId="0" fontId="3" fillId="0" borderId="0" xfId="4" applyFont="1"/>
    <xf numFmtId="0" fontId="2" fillId="0" borderId="7" xfId="4" applyFont="1" applyBorder="1"/>
    <xf numFmtId="0" fontId="2" fillId="0" borderId="0" xfId="4" applyFont="1"/>
    <xf numFmtId="0" fontId="2" fillId="0" borderId="0" xfId="4" applyFont="1" applyAlignment="1">
      <alignment wrapText="1"/>
    </xf>
    <xf numFmtId="0" fontId="2" fillId="5" borderId="0" xfId="4" applyFont="1" applyFill="1"/>
    <xf numFmtId="0" fontId="1" fillId="0" borderId="0" xfId="4" applyFont="1"/>
    <xf numFmtId="0" fontId="1" fillId="0" borderId="7" xfId="4" applyFont="1" applyBorder="1"/>
    <xf numFmtId="0" fontId="1" fillId="5" borderId="0" xfId="4" applyFont="1" applyFill="1"/>
  </cellXfs>
  <cellStyles count="6">
    <cellStyle name="Good" xfId="3" builtinId="26"/>
    <cellStyle name="Normal" xfId="0" builtinId="0"/>
    <cellStyle name="Normal 2" xfId="1" xr:uid="{B7894CC1-4EE1-4A7D-B74F-624174892FC0}"/>
    <cellStyle name="Normal 3" xfId="4" xr:uid="{F3D8E833-1EAE-49D2-A555-9C4FA894C4D3}"/>
    <cellStyle name="Percent" xfId="2" builtinId="5"/>
    <cellStyle name="Percent 2" xfId="5" xr:uid="{5346C262-71F8-40AF-9F38-59A048514EE3}"/>
  </cellStyles>
  <dxfs count="6">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theme="8" tint="-0.24994659260841701"/>
      </font>
      <fill>
        <patternFill>
          <bgColor theme="8" tint="0.59996337778862885"/>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nlinelibrary.wiley.com/doi/epdf/10.1111/raq.1259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134"/>
  <sheetViews>
    <sheetView workbookViewId="0">
      <pane xSplit="2" ySplit="1" topLeftCell="C193" activePane="bottomRight" state="frozen"/>
      <selection pane="topRight" activeCell="C1" sqref="C1"/>
      <selection pane="bottomLeft" activeCell="A2" sqref="A2"/>
      <selection pane="bottomRight" activeCell="A203" sqref="A203"/>
    </sheetView>
  </sheetViews>
  <sheetFormatPr defaultColWidth="12.6640625" defaultRowHeight="15.75" customHeight="1" x14ac:dyDescent="0.25"/>
  <cols>
    <col min="1" max="1" width="23" bestFit="1" customWidth="1"/>
    <col min="2" max="2" width="20.6640625" bestFit="1" customWidth="1"/>
    <col min="3" max="3" width="12.5546875" bestFit="1" customWidth="1"/>
    <col min="4" max="4" width="118.88671875" bestFit="1" customWidth="1"/>
    <col min="5" max="5" width="14.33203125" customWidth="1"/>
    <col min="6" max="6" width="12.109375" customWidth="1"/>
    <col min="7" max="7" width="12.33203125" customWidth="1"/>
  </cols>
  <sheetData>
    <row r="1" spans="1:14" ht="13.2" x14ac:dyDescent="0.25">
      <c r="A1" s="4" t="s">
        <v>29</v>
      </c>
      <c r="B1" s="1" t="s">
        <v>0</v>
      </c>
      <c r="C1" s="4" t="s">
        <v>30</v>
      </c>
      <c r="D1" s="1" t="s">
        <v>182</v>
      </c>
      <c r="E1" s="1"/>
      <c r="F1" s="1"/>
      <c r="G1" s="1"/>
      <c r="H1" s="1"/>
      <c r="I1" s="1"/>
      <c r="J1" s="1"/>
      <c r="K1" s="1"/>
      <c r="L1" s="1"/>
      <c r="M1" s="1"/>
      <c r="N1" s="1"/>
    </row>
    <row r="2" spans="1:14" ht="13.2" x14ac:dyDescent="0.25">
      <c r="A2" s="7" t="s">
        <v>196</v>
      </c>
      <c r="B2" s="2" t="s">
        <v>1</v>
      </c>
      <c r="C2" s="2">
        <v>0.42</v>
      </c>
      <c r="D2" s="3"/>
    </row>
    <row r="3" spans="1:14" ht="13.2" x14ac:dyDescent="0.25">
      <c r="A3" s="7" t="s">
        <v>196</v>
      </c>
      <c r="B3" s="2" t="s">
        <v>2</v>
      </c>
      <c r="C3" s="2">
        <v>0.04</v>
      </c>
      <c r="D3" s="2"/>
    </row>
    <row r="4" spans="1:14" ht="13.2" x14ac:dyDescent="0.25">
      <c r="A4" s="7" t="s">
        <v>196</v>
      </c>
      <c r="B4" s="2" t="s">
        <v>24</v>
      </c>
      <c r="C4" s="2">
        <v>0.1</v>
      </c>
      <c r="D4" s="2"/>
    </row>
    <row r="5" spans="1:14" ht="13.2" x14ac:dyDescent="0.25">
      <c r="A5" s="7" t="s">
        <v>196</v>
      </c>
      <c r="B5" s="2" t="s">
        <v>23</v>
      </c>
      <c r="C5" s="2">
        <v>0.12</v>
      </c>
      <c r="D5" s="2"/>
    </row>
    <row r="6" spans="1:14" ht="13.2" x14ac:dyDescent="0.25">
      <c r="A6" s="7" t="s">
        <v>196</v>
      </c>
      <c r="B6" s="2" t="s">
        <v>25</v>
      </c>
      <c r="C6" s="2">
        <v>2.5000000000000001E-2</v>
      </c>
      <c r="D6" s="2"/>
    </row>
    <row r="7" spans="1:14" ht="13.2" x14ac:dyDescent="0.25">
      <c r="A7" s="7" t="s">
        <v>196</v>
      </c>
      <c r="B7" s="2" t="s">
        <v>5</v>
      </c>
      <c r="C7" s="2">
        <v>0.25800000000000001</v>
      </c>
      <c r="D7" s="2"/>
    </row>
    <row r="8" spans="1:14" ht="13.2" x14ac:dyDescent="0.25">
      <c r="A8" s="2" t="s">
        <v>46</v>
      </c>
      <c r="B8" s="2" t="s">
        <v>43</v>
      </c>
      <c r="C8" s="2">
        <v>0.10199999999999999</v>
      </c>
      <c r="D8" s="2"/>
    </row>
    <row r="9" spans="1:14" ht="13.2" x14ac:dyDescent="0.25">
      <c r="A9" s="2" t="s">
        <v>46</v>
      </c>
      <c r="B9" s="2" t="s">
        <v>10</v>
      </c>
      <c r="C9" s="2">
        <v>5.0999999999999997E-2</v>
      </c>
      <c r="D9" s="2"/>
    </row>
    <row r="10" spans="1:14" ht="13.2" x14ac:dyDescent="0.25">
      <c r="A10" s="2" t="s">
        <v>46</v>
      </c>
      <c r="B10" s="2" t="s">
        <v>9</v>
      </c>
      <c r="C10" s="2">
        <v>9.1999999999999998E-2</v>
      </c>
      <c r="D10" s="2"/>
    </row>
    <row r="11" spans="1:14" ht="13.2" x14ac:dyDescent="0.25">
      <c r="A11" s="2" t="s">
        <v>46</v>
      </c>
      <c r="B11" s="2" t="s">
        <v>1</v>
      </c>
      <c r="C11" s="2">
        <v>0.16800000000000001</v>
      </c>
      <c r="D11" s="2"/>
    </row>
    <row r="12" spans="1:14" ht="13.2" x14ac:dyDescent="0.25">
      <c r="A12" s="2" t="s">
        <v>46</v>
      </c>
      <c r="B12" s="2" t="s">
        <v>3</v>
      </c>
      <c r="C12" s="2">
        <v>4.0999999999999995E-2</v>
      </c>
      <c r="D12" s="2"/>
    </row>
    <row r="13" spans="1:14" ht="13.2" x14ac:dyDescent="0.25">
      <c r="A13" s="2" t="s">
        <v>46</v>
      </c>
      <c r="B13" s="2" t="s">
        <v>2</v>
      </c>
      <c r="C13" s="2">
        <v>7.6999999999999999E-2</v>
      </c>
      <c r="D13" s="2"/>
    </row>
    <row r="14" spans="1:14" ht="13.2" x14ac:dyDescent="0.25">
      <c r="A14" s="2" t="s">
        <v>46</v>
      </c>
      <c r="B14" s="2" t="s">
        <v>4</v>
      </c>
      <c r="C14" s="2">
        <v>3.1E-2</v>
      </c>
      <c r="D14" s="2"/>
    </row>
    <row r="15" spans="1:14" ht="13.2" x14ac:dyDescent="0.25">
      <c r="A15" s="2" t="s">
        <v>46</v>
      </c>
      <c r="B15" s="2" t="s">
        <v>6</v>
      </c>
      <c r="C15" s="2">
        <v>5.0999999999999997E-2</v>
      </c>
      <c r="D15" s="2"/>
    </row>
    <row r="16" spans="1:14" ht="13.2" x14ac:dyDescent="0.25">
      <c r="A16" s="2" t="s">
        <v>46</v>
      </c>
      <c r="B16" s="2" t="s">
        <v>185</v>
      </c>
      <c r="C16" s="2">
        <v>1.4999999999999999E-2</v>
      </c>
      <c r="D16" s="2"/>
    </row>
    <row r="17" spans="1:4" ht="13.2" x14ac:dyDescent="0.25">
      <c r="A17" s="2" t="s">
        <v>46</v>
      </c>
      <c r="B17" s="2" t="s">
        <v>22</v>
      </c>
      <c r="C17" s="2">
        <v>0.153</v>
      </c>
      <c r="D17" s="2"/>
    </row>
    <row r="18" spans="1:4" ht="13.2" x14ac:dyDescent="0.25">
      <c r="A18" s="2" t="s">
        <v>46</v>
      </c>
      <c r="B18" s="2" t="s">
        <v>47</v>
      </c>
      <c r="C18" s="2">
        <v>3.1E-2</v>
      </c>
      <c r="D18" s="2"/>
    </row>
    <row r="19" spans="1:4" ht="13.2" x14ac:dyDescent="0.25">
      <c r="A19" s="2" t="s">
        <v>46</v>
      </c>
      <c r="B19" s="2" t="s">
        <v>23</v>
      </c>
      <c r="C19" s="2">
        <v>4.0999999999999995E-2</v>
      </c>
      <c r="D19" s="2"/>
    </row>
    <row r="20" spans="1:4" ht="13.2" x14ac:dyDescent="0.25">
      <c r="A20" s="2" t="s">
        <v>46</v>
      </c>
      <c r="B20" s="2" t="s">
        <v>14</v>
      </c>
      <c r="C20" s="2">
        <v>1.4999999999999999E-2</v>
      </c>
      <c r="D20" s="2"/>
    </row>
    <row r="21" spans="1:4" ht="13.2" x14ac:dyDescent="0.25">
      <c r="A21" s="2" t="s">
        <v>46</v>
      </c>
      <c r="B21" s="2" t="s">
        <v>5</v>
      </c>
      <c r="C21" s="2">
        <v>0.13300000000000001</v>
      </c>
      <c r="D21" s="2"/>
    </row>
    <row r="22" spans="1:4" ht="13.2" x14ac:dyDescent="0.25">
      <c r="A22" s="2" t="s">
        <v>41</v>
      </c>
      <c r="B22" s="2" t="s">
        <v>43</v>
      </c>
      <c r="C22" s="2">
        <v>2.3E-2</v>
      </c>
      <c r="D22" s="2"/>
    </row>
    <row r="23" spans="1:4" ht="13.2" x14ac:dyDescent="0.25">
      <c r="A23" s="2" t="s">
        <v>41</v>
      </c>
      <c r="B23" s="2" t="s">
        <v>10</v>
      </c>
      <c r="C23" s="2">
        <v>0.01</v>
      </c>
      <c r="D23" s="2"/>
    </row>
    <row r="24" spans="1:4" ht="13.2" x14ac:dyDescent="0.25">
      <c r="A24" s="2" t="s">
        <v>41</v>
      </c>
      <c r="B24" s="2" t="s">
        <v>9</v>
      </c>
      <c r="C24" s="2">
        <v>7.2999999999999995E-2</v>
      </c>
      <c r="D24" s="2"/>
    </row>
    <row r="25" spans="1:4" ht="13.2" x14ac:dyDescent="0.25">
      <c r="A25" s="2" t="s">
        <v>41</v>
      </c>
      <c r="B25" s="2" t="s">
        <v>44</v>
      </c>
      <c r="C25" s="2">
        <v>7.8E-2</v>
      </c>
      <c r="D25" s="2"/>
    </row>
    <row r="26" spans="1:4" ht="13.2" x14ac:dyDescent="0.25">
      <c r="A26" s="2" t="s">
        <v>41</v>
      </c>
      <c r="B26" s="2" t="s">
        <v>1</v>
      </c>
      <c r="C26" s="2">
        <v>0.25</v>
      </c>
      <c r="D26" s="2"/>
    </row>
    <row r="27" spans="1:4" ht="13.2" x14ac:dyDescent="0.25">
      <c r="A27" s="2" t="s">
        <v>41</v>
      </c>
      <c r="B27" s="2" t="s">
        <v>2</v>
      </c>
      <c r="C27" s="2">
        <v>0.17199999999999999</v>
      </c>
      <c r="D27" s="2"/>
    </row>
    <row r="28" spans="1:4" ht="13.2" x14ac:dyDescent="0.25">
      <c r="A28" s="2" t="s">
        <v>41</v>
      </c>
      <c r="B28" s="2" t="s">
        <v>8</v>
      </c>
      <c r="C28" s="2">
        <v>1E-3</v>
      </c>
      <c r="D28" s="2"/>
    </row>
    <row r="29" spans="1:4" ht="13.2" x14ac:dyDescent="0.25">
      <c r="A29" s="2" t="s">
        <v>41</v>
      </c>
      <c r="B29" s="2" t="s">
        <v>42</v>
      </c>
      <c r="C29" s="2">
        <v>8.0000000000000002E-3</v>
      </c>
      <c r="D29" s="2"/>
    </row>
    <row r="30" spans="1:4" ht="13.2" x14ac:dyDescent="0.25">
      <c r="A30" s="2" t="s">
        <v>41</v>
      </c>
      <c r="B30" s="2" t="s">
        <v>22</v>
      </c>
      <c r="C30" s="2">
        <v>7.2000000000000008E-2</v>
      </c>
      <c r="D30" s="2"/>
    </row>
    <row r="31" spans="1:4" ht="13.2" x14ac:dyDescent="0.25">
      <c r="A31" s="2" t="s">
        <v>41</v>
      </c>
      <c r="B31" s="2" t="s">
        <v>23</v>
      </c>
      <c r="C31" s="2">
        <v>9.6999999999999989E-2</v>
      </c>
      <c r="D31" s="2"/>
    </row>
    <row r="32" spans="1:4" ht="13.2" x14ac:dyDescent="0.25">
      <c r="A32" s="2" t="s">
        <v>41</v>
      </c>
      <c r="B32" s="2" t="s">
        <v>12</v>
      </c>
      <c r="C32" s="2">
        <v>4.8000000000000001E-2</v>
      </c>
      <c r="D32" s="2"/>
    </row>
    <row r="33" spans="1:4" ht="13.2" x14ac:dyDescent="0.25">
      <c r="A33" s="2" t="s">
        <v>41</v>
      </c>
      <c r="B33" s="2" t="s">
        <v>19</v>
      </c>
      <c r="C33" s="2">
        <v>0.10400000000000001</v>
      </c>
      <c r="D33" s="2"/>
    </row>
    <row r="34" spans="1:4" ht="13.2" x14ac:dyDescent="0.25">
      <c r="A34" s="2" t="s">
        <v>41</v>
      </c>
      <c r="B34" s="2" t="s">
        <v>5</v>
      </c>
      <c r="C34" s="2">
        <v>5.7999999999999996E-2</v>
      </c>
      <c r="D34" s="2"/>
    </row>
    <row r="35" spans="1:4" ht="13.2" x14ac:dyDescent="0.25">
      <c r="A35" s="2" t="s">
        <v>41</v>
      </c>
      <c r="B35" s="2" t="s">
        <v>15</v>
      </c>
      <c r="C35" s="2">
        <v>6.0000000000000001E-3</v>
      </c>
      <c r="D35" s="2"/>
    </row>
    <row r="36" spans="1:4" ht="13.2" x14ac:dyDescent="0.25">
      <c r="A36" s="2" t="s">
        <v>40</v>
      </c>
      <c r="B36" s="2" t="s">
        <v>10</v>
      </c>
      <c r="C36" s="2">
        <v>0.18</v>
      </c>
      <c r="D36" s="2"/>
    </row>
    <row r="37" spans="1:4" ht="13.2" x14ac:dyDescent="0.25">
      <c r="A37" s="2" t="s">
        <v>40</v>
      </c>
      <c r="B37" s="2" t="s">
        <v>13</v>
      </c>
      <c r="C37" s="2">
        <v>0.02</v>
      </c>
      <c r="D37" s="2"/>
    </row>
    <row r="38" spans="1:4" ht="13.2" x14ac:dyDescent="0.25">
      <c r="A38" s="2" t="s">
        <v>40</v>
      </c>
      <c r="B38" s="2" t="s">
        <v>9</v>
      </c>
      <c r="C38" s="2">
        <v>0.01</v>
      </c>
      <c r="D38" s="2"/>
    </row>
    <row r="39" spans="1:4" ht="13.2" x14ac:dyDescent="0.25">
      <c r="A39" s="2" t="s">
        <v>40</v>
      </c>
      <c r="B39" s="2" t="s">
        <v>17</v>
      </c>
      <c r="C39" s="2">
        <v>0.04</v>
      </c>
      <c r="D39" s="2"/>
    </row>
    <row r="40" spans="1:4" ht="13.2" x14ac:dyDescent="0.25">
      <c r="A40" s="2" t="s">
        <v>40</v>
      </c>
      <c r="B40" s="2" t="s">
        <v>1</v>
      </c>
      <c r="C40" s="2">
        <v>0.09</v>
      </c>
      <c r="D40" s="2"/>
    </row>
    <row r="41" spans="1:4" ht="13.2" x14ac:dyDescent="0.25">
      <c r="A41" s="2" t="s">
        <v>40</v>
      </c>
      <c r="B41" s="2" t="s">
        <v>3</v>
      </c>
      <c r="C41" s="2">
        <v>0.03</v>
      </c>
      <c r="D41" s="2"/>
    </row>
    <row r="42" spans="1:4" ht="13.2" x14ac:dyDescent="0.25">
      <c r="A42" s="2" t="s">
        <v>40</v>
      </c>
      <c r="B42" s="2" t="s">
        <v>2</v>
      </c>
      <c r="C42" s="2">
        <v>0.08</v>
      </c>
      <c r="D42" s="2"/>
    </row>
    <row r="43" spans="1:4" ht="13.2" x14ac:dyDescent="0.25">
      <c r="A43" s="2" t="s">
        <v>40</v>
      </c>
      <c r="B43" s="2" t="s">
        <v>4</v>
      </c>
      <c r="C43" s="2">
        <v>0.02</v>
      </c>
      <c r="D43" s="2"/>
    </row>
    <row r="44" spans="1:4" ht="13.2" x14ac:dyDescent="0.25">
      <c r="A44" s="2" t="s">
        <v>40</v>
      </c>
      <c r="B44" s="2" t="s">
        <v>16</v>
      </c>
      <c r="C44" s="2">
        <v>0.04</v>
      </c>
      <c r="D44" s="2"/>
    </row>
    <row r="45" spans="1:4" ht="13.2" x14ac:dyDescent="0.25">
      <c r="A45" s="2" t="s">
        <v>40</v>
      </c>
      <c r="B45" s="2" t="s">
        <v>11</v>
      </c>
      <c r="C45" s="2">
        <v>0.02</v>
      </c>
      <c r="D45" s="2"/>
    </row>
    <row r="46" spans="1:4" ht="13.2" x14ac:dyDescent="0.25">
      <c r="A46" s="2" t="s">
        <v>40</v>
      </c>
      <c r="B46" s="2" t="s">
        <v>20</v>
      </c>
      <c r="C46" s="2">
        <v>0.03</v>
      </c>
      <c r="D46" s="2"/>
    </row>
    <row r="47" spans="1:4" ht="13.2" x14ac:dyDescent="0.25">
      <c r="A47" s="2" t="s">
        <v>40</v>
      </c>
      <c r="B47" s="2" t="s">
        <v>18</v>
      </c>
      <c r="C47" s="2">
        <v>0.02</v>
      </c>
      <c r="D47" s="2"/>
    </row>
    <row r="48" spans="1:4" ht="13.2" x14ac:dyDescent="0.25">
      <c r="A48" s="2" t="s">
        <v>40</v>
      </c>
      <c r="B48" s="2" t="s">
        <v>12</v>
      </c>
      <c r="C48" s="2">
        <v>0.02</v>
      </c>
      <c r="D48" s="2"/>
    </row>
    <row r="49" spans="1:4" ht="13.2" x14ac:dyDescent="0.25">
      <c r="A49" s="2" t="s">
        <v>40</v>
      </c>
      <c r="B49" s="2" t="s">
        <v>14</v>
      </c>
      <c r="C49" s="2">
        <v>0.21</v>
      </c>
      <c r="D49" s="2"/>
    </row>
    <row r="50" spans="1:4" ht="13.2" x14ac:dyDescent="0.25">
      <c r="A50" s="2" t="s">
        <v>40</v>
      </c>
      <c r="B50" s="2" t="s">
        <v>19</v>
      </c>
      <c r="C50" s="2">
        <v>0.03</v>
      </c>
      <c r="D50" s="2"/>
    </row>
    <row r="51" spans="1:4" ht="13.2" x14ac:dyDescent="0.25">
      <c r="A51" s="2" t="s">
        <v>40</v>
      </c>
      <c r="B51" s="2" t="s">
        <v>5</v>
      </c>
      <c r="C51" s="2">
        <v>0.06</v>
      </c>
      <c r="D51" s="2"/>
    </row>
    <row r="52" spans="1:4" ht="13.2" x14ac:dyDescent="0.25">
      <c r="A52" s="2" t="s">
        <v>40</v>
      </c>
      <c r="B52" s="2" t="s">
        <v>15</v>
      </c>
      <c r="C52" s="2">
        <v>0.1</v>
      </c>
      <c r="D52" s="2"/>
    </row>
    <row r="53" spans="1:4" ht="13.2" x14ac:dyDescent="0.25">
      <c r="A53" s="2" t="s">
        <v>45</v>
      </c>
      <c r="B53" s="2" t="s">
        <v>10</v>
      </c>
      <c r="C53" s="2">
        <v>1.1000000000000001E-2</v>
      </c>
      <c r="D53" s="2"/>
    </row>
    <row r="54" spans="1:4" ht="13.2" x14ac:dyDescent="0.25">
      <c r="A54" s="2" t="s">
        <v>45</v>
      </c>
      <c r="B54" s="2" t="s">
        <v>9</v>
      </c>
      <c r="C54" s="2">
        <v>5.5E-2</v>
      </c>
      <c r="D54" s="2"/>
    </row>
    <row r="55" spans="1:4" ht="13.2" x14ac:dyDescent="0.25">
      <c r="A55" s="2" t="s">
        <v>45</v>
      </c>
      <c r="B55" s="2" t="s">
        <v>17</v>
      </c>
      <c r="C55" s="2">
        <v>5.0999999999999997E-2</v>
      </c>
      <c r="D55" s="2"/>
    </row>
    <row r="56" spans="1:4" ht="13.2" x14ac:dyDescent="0.25">
      <c r="A56" s="2" t="s">
        <v>45</v>
      </c>
      <c r="B56" s="2" t="s">
        <v>1</v>
      </c>
      <c r="C56" s="2">
        <v>0.35400000000000004</v>
      </c>
      <c r="D56" s="2"/>
    </row>
    <row r="57" spans="1:4" ht="13.2" x14ac:dyDescent="0.25">
      <c r="A57" s="2" t="s">
        <v>45</v>
      </c>
      <c r="B57" s="2" t="s">
        <v>3</v>
      </c>
      <c r="C57" s="2">
        <v>5.0999999999999997E-2</v>
      </c>
      <c r="D57" s="2"/>
    </row>
    <row r="58" spans="1:4" ht="13.2" x14ac:dyDescent="0.25">
      <c r="A58" s="2" t="s">
        <v>45</v>
      </c>
      <c r="B58" s="2" t="s">
        <v>2</v>
      </c>
      <c r="C58" s="2">
        <v>0.21700000000000003</v>
      </c>
      <c r="D58" s="2"/>
    </row>
    <row r="59" spans="1:4" ht="13.2" x14ac:dyDescent="0.25">
      <c r="A59" s="2" t="s">
        <v>45</v>
      </c>
      <c r="B59" s="2" t="s">
        <v>4</v>
      </c>
      <c r="C59" s="2">
        <v>0.05</v>
      </c>
      <c r="D59" s="2"/>
    </row>
    <row r="60" spans="1:4" ht="13.2" x14ac:dyDescent="0.25">
      <c r="A60" s="2" t="s">
        <v>45</v>
      </c>
      <c r="B60" s="2" t="s">
        <v>18</v>
      </c>
      <c r="C60" s="2">
        <v>2.7999999999999997E-2</v>
      </c>
      <c r="D60" s="2"/>
    </row>
    <row r="61" spans="1:4" ht="13.2" x14ac:dyDescent="0.25">
      <c r="A61" s="2" t="s">
        <v>45</v>
      </c>
      <c r="B61" s="2" t="s">
        <v>23</v>
      </c>
      <c r="C61" s="2">
        <v>9.1999999999999998E-2</v>
      </c>
      <c r="D61" s="2"/>
    </row>
    <row r="62" spans="1:4" ht="13.2" x14ac:dyDescent="0.25">
      <c r="A62" s="2" t="s">
        <v>45</v>
      </c>
      <c r="B62" s="2" t="s">
        <v>19</v>
      </c>
      <c r="C62" s="2">
        <v>2.4E-2</v>
      </c>
      <c r="D62" s="2"/>
    </row>
    <row r="63" spans="1:4" ht="13.2" x14ac:dyDescent="0.25">
      <c r="A63" s="2" t="s">
        <v>45</v>
      </c>
      <c r="B63" s="2" t="s">
        <v>5</v>
      </c>
      <c r="C63" s="2">
        <v>5.9000000000000004E-2</v>
      </c>
      <c r="D63" s="2"/>
    </row>
    <row r="64" spans="1:4" ht="13.2" x14ac:dyDescent="0.25">
      <c r="A64" s="2" t="s">
        <v>45</v>
      </c>
      <c r="B64" s="2" t="s">
        <v>15</v>
      </c>
      <c r="C64" s="2">
        <v>1.3999999999999999E-2</v>
      </c>
      <c r="D64" s="2"/>
    </row>
    <row r="65" spans="1:4" ht="13.2" x14ac:dyDescent="0.25">
      <c r="A65" s="2" t="s">
        <v>251</v>
      </c>
      <c r="B65" s="2" t="s">
        <v>1</v>
      </c>
      <c r="C65" s="2">
        <v>0.25</v>
      </c>
      <c r="D65" s="2"/>
    </row>
    <row r="66" spans="1:4" ht="13.2" x14ac:dyDescent="0.25">
      <c r="A66" s="2" t="s">
        <v>251</v>
      </c>
      <c r="B66" s="2" t="s">
        <v>23</v>
      </c>
      <c r="C66" s="2">
        <v>0.25</v>
      </c>
      <c r="D66" s="2"/>
    </row>
    <row r="67" spans="1:4" ht="13.2" x14ac:dyDescent="0.25">
      <c r="A67" s="2" t="s">
        <v>251</v>
      </c>
      <c r="B67" s="2" t="s">
        <v>5</v>
      </c>
      <c r="C67" s="2">
        <v>0.26</v>
      </c>
      <c r="D67" s="2"/>
    </row>
    <row r="68" spans="1:4" ht="13.2" x14ac:dyDescent="0.25">
      <c r="A68" s="2" t="s">
        <v>251</v>
      </c>
      <c r="B68" s="2" t="s">
        <v>2</v>
      </c>
      <c r="C68" s="2">
        <v>0.06</v>
      </c>
      <c r="D68" s="2"/>
    </row>
    <row r="69" spans="1:4" ht="13.2" x14ac:dyDescent="0.25">
      <c r="A69" s="2" t="s">
        <v>251</v>
      </c>
      <c r="B69" s="2" t="s">
        <v>252</v>
      </c>
      <c r="C69" s="2">
        <v>5.7000000000000002E-2</v>
      </c>
      <c r="D69" s="2"/>
    </row>
    <row r="70" spans="1:4" ht="13.2" x14ac:dyDescent="0.25">
      <c r="A70" s="2" t="s">
        <v>251</v>
      </c>
      <c r="B70" s="2" t="s">
        <v>32</v>
      </c>
      <c r="C70" s="2">
        <v>9.1499999999999915E-2</v>
      </c>
      <c r="D70" s="2"/>
    </row>
    <row r="71" spans="1:4" ht="13.2" x14ac:dyDescent="0.25">
      <c r="A71" s="2" t="s">
        <v>251</v>
      </c>
      <c r="B71" s="2" t="s">
        <v>192</v>
      </c>
      <c r="C71" s="2">
        <v>3.15E-2</v>
      </c>
      <c r="D71" s="2"/>
    </row>
    <row r="72" spans="1:4" ht="13.2" x14ac:dyDescent="0.25">
      <c r="A72" s="2" t="s">
        <v>194</v>
      </c>
      <c r="B72" s="2" t="s">
        <v>10</v>
      </c>
      <c r="C72" s="2">
        <v>0.127</v>
      </c>
      <c r="D72" s="2"/>
    </row>
    <row r="73" spans="1:4" ht="13.2" x14ac:dyDescent="0.25">
      <c r="A73" s="2" t="s">
        <v>194</v>
      </c>
      <c r="B73" s="2" t="s">
        <v>9</v>
      </c>
      <c r="C73" s="2">
        <v>0.06</v>
      </c>
      <c r="D73" s="2"/>
    </row>
    <row r="74" spans="1:4" ht="13.2" x14ac:dyDescent="0.25">
      <c r="A74" s="2" t="s">
        <v>194</v>
      </c>
      <c r="B74" s="2" t="s">
        <v>1</v>
      </c>
      <c r="C74" s="2">
        <v>0.13</v>
      </c>
      <c r="D74" s="3"/>
    </row>
    <row r="75" spans="1:4" ht="13.2" x14ac:dyDescent="0.25">
      <c r="A75" s="2" t="s">
        <v>194</v>
      </c>
      <c r="B75" s="2" t="s">
        <v>3</v>
      </c>
      <c r="C75" s="2">
        <v>0.05</v>
      </c>
      <c r="D75" s="2"/>
    </row>
    <row r="76" spans="1:4" ht="13.2" x14ac:dyDescent="0.25">
      <c r="A76" s="2" t="s">
        <v>194</v>
      </c>
      <c r="B76" s="2" t="s">
        <v>2</v>
      </c>
      <c r="C76" s="2">
        <v>5.3999999999999999E-2</v>
      </c>
      <c r="D76" s="2"/>
    </row>
    <row r="77" spans="1:4" ht="13.2" x14ac:dyDescent="0.25">
      <c r="A77" s="2" t="s">
        <v>194</v>
      </c>
      <c r="B77" s="2" t="s">
        <v>21</v>
      </c>
      <c r="C77" s="2">
        <v>0.04</v>
      </c>
      <c r="D77" s="2"/>
    </row>
    <row r="78" spans="1:4" ht="13.2" x14ac:dyDescent="0.25">
      <c r="A78" s="2" t="s">
        <v>194</v>
      </c>
      <c r="B78" s="2" t="s">
        <v>6</v>
      </c>
      <c r="C78" s="2">
        <v>0.04</v>
      </c>
      <c r="D78" s="2"/>
    </row>
    <row r="79" spans="1:4" ht="13.2" x14ac:dyDescent="0.25">
      <c r="A79" s="2" t="s">
        <v>194</v>
      </c>
      <c r="B79" s="2" t="s">
        <v>22</v>
      </c>
      <c r="C79" s="2">
        <v>0.1</v>
      </c>
      <c r="D79" s="2"/>
    </row>
    <row r="80" spans="1:4" ht="13.2" x14ac:dyDescent="0.25">
      <c r="A80" s="2" t="s">
        <v>194</v>
      </c>
      <c r="B80" s="2" t="s">
        <v>23</v>
      </c>
      <c r="C80" s="2">
        <v>0.15</v>
      </c>
      <c r="D80" s="2"/>
    </row>
    <row r="81" spans="1:4" ht="13.2" x14ac:dyDescent="0.25">
      <c r="A81" s="2" t="s">
        <v>194</v>
      </c>
      <c r="B81" s="2" t="s">
        <v>14</v>
      </c>
      <c r="C81" s="2">
        <v>4.3999999999999997E-2</v>
      </c>
      <c r="D81" s="2"/>
    </row>
    <row r="82" spans="1:4" ht="13.2" x14ac:dyDescent="0.25">
      <c r="A82" s="2" t="s">
        <v>194</v>
      </c>
      <c r="B82" s="2" t="s">
        <v>5</v>
      </c>
      <c r="C82" s="2">
        <v>0.114</v>
      </c>
      <c r="D82" s="2"/>
    </row>
    <row r="83" spans="1:4" ht="13.2" x14ac:dyDescent="0.25">
      <c r="A83" s="2" t="s">
        <v>194</v>
      </c>
      <c r="B83" s="2" t="s">
        <v>15</v>
      </c>
      <c r="C83" s="2">
        <v>0.06</v>
      </c>
      <c r="D83" s="2"/>
    </row>
    <row r="84" spans="1:4" ht="13.2" x14ac:dyDescent="0.25">
      <c r="A84" s="2" t="s">
        <v>206</v>
      </c>
      <c r="B84" s="2" t="s">
        <v>192</v>
      </c>
      <c r="C84" s="2">
        <v>3.7600000000000001E-2</v>
      </c>
      <c r="D84" s="3"/>
    </row>
    <row r="85" spans="1:4" ht="13.2" x14ac:dyDescent="0.25">
      <c r="A85" s="2" t="s">
        <v>206</v>
      </c>
      <c r="B85" s="2" t="s">
        <v>9</v>
      </c>
      <c r="C85" s="2">
        <v>0.13</v>
      </c>
      <c r="D85" s="3"/>
    </row>
    <row r="86" spans="1:4" ht="13.2" x14ac:dyDescent="0.25">
      <c r="A86" s="2" t="s">
        <v>206</v>
      </c>
      <c r="B86" s="2" t="s">
        <v>1</v>
      </c>
      <c r="C86" s="2">
        <v>0.25</v>
      </c>
      <c r="D86" s="3"/>
    </row>
    <row r="87" spans="1:4" ht="13.2" x14ac:dyDescent="0.25">
      <c r="A87" s="2" t="s">
        <v>206</v>
      </c>
      <c r="B87" s="2" t="s">
        <v>2</v>
      </c>
      <c r="C87" s="2">
        <v>1.4999999999999999E-2</v>
      </c>
      <c r="D87" s="3"/>
    </row>
    <row r="88" spans="1:4" ht="13.2" x14ac:dyDescent="0.25">
      <c r="A88" s="2" t="s">
        <v>206</v>
      </c>
      <c r="B88" s="2" t="s">
        <v>32</v>
      </c>
      <c r="C88" s="2">
        <v>6.7400000000000002E-2</v>
      </c>
      <c r="D88" s="3"/>
    </row>
    <row r="89" spans="1:4" ht="13.2" x14ac:dyDescent="0.25">
      <c r="A89" s="2" t="s">
        <v>206</v>
      </c>
      <c r="B89" s="2" t="s">
        <v>24</v>
      </c>
      <c r="C89" s="2">
        <v>6.5000000000000002E-2</v>
      </c>
      <c r="D89" s="3"/>
    </row>
    <row r="90" spans="1:4" ht="13.2" x14ac:dyDescent="0.25">
      <c r="A90" s="2" t="s">
        <v>206</v>
      </c>
      <c r="B90" s="2" t="s">
        <v>22</v>
      </c>
      <c r="C90" s="2">
        <v>0.11</v>
      </c>
      <c r="D90" s="3"/>
    </row>
    <row r="91" spans="1:4" ht="13.2" x14ac:dyDescent="0.25">
      <c r="A91" s="2" t="s">
        <v>206</v>
      </c>
      <c r="B91" s="2" t="s">
        <v>23</v>
      </c>
      <c r="C91" s="2">
        <v>8.5000000000000006E-2</v>
      </c>
      <c r="D91" s="3"/>
    </row>
    <row r="92" spans="1:4" ht="13.2" x14ac:dyDescent="0.25">
      <c r="A92" s="2" t="s">
        <v>206</v>
      </c>
      <c r="B92" s="2" t="s">
        <v>12</v>
      </c>
      <c r="C92" s="2">
        <v>0.05</v>
      </c>
      <c r="D92" s="3"/>
    </row>
    <row r="93" spans="1:4" ht="13.2" x14ac:dyDescent="0.25">
      <c r="A93" s="2" t="s">
        <v>206</v>
      </c>
      <c r="B93" s="2" t="s">
        <v>25</v>
      </c>
      <c r="C93" s="2">
        <v>1.4999999999999999E-2</v>
      </c>
      <c r="D93" s="3"/>
    </row>
    <row r="94" spans="1:4" ht="13.2" x14ac:dyDescent="0.25">
      <c r="A94" s="2" t="s">
        <v>206</v>
      </c>
      <c r="B94" s="2" t="s">
        <v>5</v>
      </c>
      <c r="C94" s="2">
        <v>0.17499999999999999</v>
      </c>
      <c r="D94" s="3"/>
    </row>
    <row r="95" spans="1:4" ht="13.2" x14ac:dyDescent="0.25">
      <c r="A95" s="2" t="s">
        <v>245</v>
      </c>
      <c r="B95" s="2" t="s">
        <v>27</v>
      </c>
      <c r="C95" s="2">
        <v>1</v>
      </c>
      <c r="D95" s="3" t="s">
        <v>7</v>
      </c>
    </row>
    <row r="96" spans="1:4" ht="13.2" x14ac:dyDescent="0.25">
      <c r="A96" s="2" t="s">
        <v>229</v>
      </c>
      <c r="B96" s="2" t="s">
        <v>1</v>
      </c>
      <c r="C96">
        <f>670/1000</f>
        <v>0.67</v>
      </c>
      <c r="D96" s="5"/>
    </row>
    <row r="97" spans="1:4" ht="13.2" x14ac:dyDescent="0.25">
      <c r="A97" s="2" t="s">
        <v>229</v>
      </c>
      <c r="B97" s="2" t="s">
        <v>2</v>
      </c>
      <c r="C97">
        <f>50/1000</f>
        <v>0.05</v>
      </c>
      <c r="D97" s="5"/>
    </row>
    <row r="98" spans="1:4" ht="13.2" x14ac:dyDescent="0.25">
      <c r="A98" s="2" t="s">
        <v>229</v>
      </c>
      <c r="B98" s="2" t="s">
        <v>26</v>
      </c>
      <c r="C98">
        <f>5/1000</f>
        <v>5.0000000000000001E-3</v>
      </c>
      <c r="D98" s="5"/>
    </row>
    <row r="99" spans="1:4" ht="13.2" x14ac:dyDescent="0.25">
      <c r="A99" s="2" t="s">
        <v>229</v>
      </c>
      <c r="B99" s="2" t="s">
        <v>8</v>
      </c>
      <c r="C99">
        <f>100/1000</f>
        <v>0.1</v>
      </c>
      <c r="D99" s="5"/>
    </row>
    <row r="100" spans="1:4" ht="13.2" x14ac:dyDescent="0.25">
      <c r="A100" s="2" t="s">
        <v>229</v>
      </c>
      <c r="B100" s="2" t="s">
        <v>32</v>
      </c>
      <c r="C100">
        <f>(20+20+35)/1000</f>
        <v>7.4999999999999997E-2</v>
      </c>
      <c r="D100" s="5"/>
    </row>
    <row r="101" spans="1:4" ht="13.2" x14ac:dyDescent="0.25">
      <c r="A101" s="2" t="s">
        <v>229</v>
      </c>
      <c r="B101" t="s">
        <v>21</v>
      </c>
      <c r="C101">
        <f>(50+50)/1000</f>
        <v>0.1</v>
      </c>
      <c r="D101" s="5"/>
    </row>
    <row r="102" spans="1:4" ht="13.2" x14ac:dyDescent="0.25">
      <c r="A102" s="2" t="s">
        <v>199</v>
      </c>
      <c r="B102" s="2" t="s">
        <v>204</v>
      </c>
      <c r="C102" s="2">
        <v>1.4999999999999999E-2</v>
      </c>
      <c r="D102" s="3"/>
    </row>
    <row r="103" spans="1:4" ht="13.2" x14ac:dyDescent="0.25">
      <c r="A103" s="2" t="s">
        <v>199</v>
      </c>
      <c r="B103" s="2" t="s">
        <v>201</v>
      </c>
      <c r="C103" s="2">
        <v>0.13</v>
      </c>
      <c r="D103" s="3"/>
    </row>
    <row r="104" spans="1:4" ht="13.2" x14ac:dyDescent="0.25">
      <c r="A104" s="2" t="s">
        <v>199</v>
      </c>
      <c r="B104" s="2" t="s">
        <v>1</v>
      </c>
      <c r="C104" s="2">
        <v>0.05</v>
      </c>
      <c r="D104" s="3"/>
    </row>
    <row r="105" spans="1:4" ht="13.2" x14ac:dyDescent="0.25">
      <c r="A105" s="2" t="s">
        <v>199</v>
      </c>
      <c r="B105" s="2" t="s">
        <v>203</v>
      </c>
      <c r="C105" s="2">
        <v>0.08</v>
      </c>
      <c r="D105" s="3"/>
    </row>
    <row r="106" spans="1:4" ht="13.2" x14ac:dyDescent="0.25">
      <c r="A106" s="2" t="s">
        <v>199</v>
      </c>
      <c r="B106" s="2" t="s">
        <v>28</v>
      </c>
      <c r="C106" s="2">
        <v>0.16</v>
      </c>
      <c r="D106" s="3"/>
    </row>
    <row r="107" spans="1:4" ht="13.2" x14ac:dyDescent="0.25">
      <c r="A107" s="2" t="s">
        <v>199</v>
      </c>
      <c r="B107" s="2" t="s">
        <v>23</v>
      </c>
      <c r="C107" s="2">
        <v>0.35</v>
      </c>
      <c r="D107" s="3"/>
    </row>
    <row r="108" spans="1:4" ht="13.2" x14ac:dyDescent="0.25">
      <c r="A108" s="2" t="s">
        <v>199</v>
      </c>
      <c r="B108" s="2" t="s">
        <v>12</v>
      </c>
      <c r="C108" s="2">
        <v>1.4999999999999999E-2</v>
      </c>
      <c r="D108" s="3"/>
    </row>
    <row r="109" spans="1:4" ht="13.2" x14ac:dyDescent="0.25">
      <c r="A109" s="2" t="s">
        <v>199</v>
      </c>
      <c r="B109" s="2" t="s">
        <v>202</v>
      </c>
      <c r="C109" s="2">
        <v>0.15</v>
      </c>
      <c r="D109" s="3"/>
    </row>
    <row r="110" spans="1:4" ht="13.2" x14ac:dyDescent="0.25">
      <c r="A110" s="2" t="s">
        <v>199</v>
      </c>
      <c r="B110" s="2" t="s">
        <v>15</v>
      </c>
      <c r="C110" s="2">
        <v>0.05</v>
      </c>
      <c r="D110" s="3"/>
    </row>
    <row r="111" spans="1:4" ht="13.2" x14ac:dyDescent="0.25">
      <c r="A111" s="2" t="s">
        <v>254</v>
      </c>
      <c r="B111" s="2" t="s">
        <v>27</v>
      </c>
      <c r="C111" s="2">
        <v>1</v>
      </c>
    </row>
    <row r="112" spans="1:4" ht="13.2" x14ac:dyDescent="0.25">
      <c r="A112" s="2" t="s">
        <v>247</v>
      </c>
      <c r="B112" t="s">
        <v>213</v>
      </c>
      <c r="C112">
        <v>0.22500000000000001</v>
      </c>
    </row>
    <row r="113" spans="1:4" ht="13.2" x14ac:dyDescent="0.25">
      <c r="A113" s="2" t="s">
        <v>247</v>
      </c>
      <c r="B113" t="s">
        <v>248</v>
      </c>
      <c r="C113">
        <v>0.15</v>
      </c>
    </row>
    <row r="114" spans="1:4" ht="13.2" x14ac:dyDescent="0.25">
      <c r="A114" s="2" t="s">
        <v>247</v>
      </c>
      <c r="B114" t="s">
        <v>28</v>
      </c>
      <c r="C114">
        <v>0.1</v>
      </c>
    </row>
    <row r="115" spans="1:4" ht="13.2" x14ac:dyDescent="0.25">
      <c r="A115" s="2" t="s">
        <v>247</v>
      </c>
      <c r="B115" t="s">
        <v>23</v>
      </c>
      <c r="C115">
        <v>0.25</v>
      </c>
    </row>
    <row r="116" spans="1:4" ht="13.2" x14ac:dyDescent="0.25">
      <c r="A116" s="2" t="s">
        <v>247</v>
      </c>
      <c r="B116" t="s">
        <v>1</v>
      </c>
      <c r="C116">
        <v>0.22500000000000001</v>
      </c>
    </row>
    <row r="117" spans="1:4" ht="13.2" x14ac:dyDescent="0.25">
      <c r="A117" s="2" t="s">
        <v>247</v>
      </c>
      <c r="B117" t="s">
        <v>2</v>
      </c>
      <c r="C117">
        <v>0.02</v>
      </c>
    </row>
    <row r="118" spans="1:4" ht="13.2" x14ac:dyDescent="0.25">
      <c r="A118" s="2" t="s">
        <v>247</v>
      </c>
      <c r="B118" t="s">
        <v>32</v>
      </c>
      <c r="C118">
        <v>0.03</v>
      </c>
    </row>
    <row r="119" spans="1:4" ht="13.2" x14ac:dyDescent="0.25">
      <c r="A119" s="2" t="s">
        <v>263</v>
      </c>
      <c r="B119" t="s">
        <v>1</v>
      </c>
      <c r="C119">
        <v>0.6</v>
      </c>
    </row>
    <row r="120" spans="1:4" ht="13.2" x14ac:dyDescent="0.25">
      <c r="A120" s="2" t="s">
        <v>263</v>
      </c>
      <c r="B120" t="s">
        <v>23</v>
      </c>
      <c r="C120">
        <v>0.155</v>
      </c>
    </row>
    <row r="121" spans="1:4" ht="13.2" x14ac:dyDescent="0.25">
      <c r="A121" s="2" t="s">
        <v>263</v>
      </c>
      <c r="B121" t="s">
        <v>5</v>
      </c>
      <c r="C121">
        <v>0.16649999999999998</v>
      </c>
    </row>
    <row r="122" spans="1:4" ht="13.2" x14ac:dyDescent="0.25">
      <c r="A122" s="2" t="s">
        <v>263</v>
      </c>
      <c r="B122" t="s">
        <v>2</v>
      </c>
      <c r="C122">
        <v>3.0499999999999999E-2</v>
      </c>
    </row>
    <row r="123" spans="1:4" ht="13.2" x14ac:dyDescent="0.25">
      <c r="A123" s="2" t="s">
        <v>263</v>
      </c>
      <c r="B123" t="s">
        <v>12</v>
      </c>
      <c r="C123">
        <v>2.3E-2</v>
      </c>
    </row>
    <row r="124" spans="1:4" ht="13.2" x14ac:dyDescent="0.25">
      <c r="A124" s="2" t="s">
        <v>263</v>
      </c>
      <c r="B124" t="s">
        <v>32</v>
      </c>
      <c r="C124">
        <v>2.5000000000000022E-2</v>
      </c>
    </row>
    <row r="125" spans="1:4" ht="13.2" x14ac:dyDescent="0.25">
      <c r="A125" s="2" t="s">
        <v>177</v>
      </c>
      <c r="B125" s="2" t="s">
        <v>43</v>
      </c>
      <c r="C125" s="2">
        <v>0.13</v>
      </c>
      <c r="D125" s="3"/>
    </row>
    <row r="126" spans="1:4" ht="13.2" x14ac:dyDescent="0.25">
      <c r="A126" s="2" t="s">
        <v>177</v>
      </c>
      <c r="B126" s="2" t="s">
        <v>10</v>
      </c>
      <c r="C126" s="2">
        <v>0.14000000000000001</v>
      </c>
      <c r="D126" s="3"/>
    </row>
    <row r="127" spans="1:4" ht="13.2" x14ac:dyDescent="0.25">
      <c r="A127" s="2" t="s">
        <v>177</v>
      </c>
      <c r="B127" s="2" t="s">
        <v>9</v>
      </c>
      <c r="C127" s="2">
        <v>0.05</v>
      </c>
      <c r="D127" s="3"/>
    </row>
    <row r="128" spans="1:4" ht="13.2" x14ac:dyDescent="0.25">
      <c r="A128" s="2" t="s">
        <v>177</v>
      </c>
      <c r="B128" s="2" t="s">
        <v>44</v>
      </c>
      <c r="C128" s="2">
        <v>7.0000000000000007E-2</v>
      </c>
      <c r="D128" s="3"/>
    </row>
    <row r="129" spans="1:4" ht="13.2" x14ac:dyDescent="0.25">
      <c r="A129" s="2" t="s">
        <v>177</v>
      </c>
      <c r="B129" s="2" t="s">
        <v>1</v>
      </c>
      <c r="C129" s="12">
        <f>0.15*0.1/(0.09+0.1)</f>
        <v>7.8947368421052627E-2</v>
      </c>
      <c r="D129" s="11" t="s">
        <v>183</v>
      </c>
    </row>
    <row r="130" spans="1:4" ht="13.2" x14ac:dyDescent="0.25">
      <c r="A130" s="2" t="s">
        <v>177</v>
      </c>
      <c r="B130" s="2" t="s">
        <v>3</v>
      </c>
      <c r="C130" s="12">
        <f>0.15*0.09/(0.09+0.1)</f>
        <v>7.1052631578947367E-2</v>
      </c>
      <c r="D130" s="11" t="s">
        <v>183</v>
      </c>
    </row>
    <row r="131" spans="1:4" ht="13.2" x14ac:dyDescent="0.25">
      <c r="A131" s="2" t="s">
        <v>177</v>
      </c>
      <c r="B131" s="2" t="s">
        <v>2</v>
      </c>
      <c r="C131" s="12">
        <f>0.06*0.04/(0.03+0.04)</f>
        <v>3.428571428571428E-2</v>
      </c>
      <c r="D131" s="11" t="s">
        <v>184</v>
      </c>
    </row>
    <row r="132" spans="1:4" ht="13.2" x14ac:dyDescent="0.25">
      <c r="A132" s="2" t="s">
        <v>177</v>
      </c>
      <c r="B132" s="2" t="s">
        <v>4</v>
      </c>
      <c r="C132" s="12">
        <f>0.06*0.03/(0.03+0.04)</f>
        <v>2.571428571428571E-2</v>
      </c>
      <c r="D132" s="11" t="s">
        <v>184</v>
      </c>
    </row>
    <row r="133" spans="1:4" ht="13.2" x14ac:dyDescent="0.25">
      <c r="A133" s="2" t="s">
        <v>177</v>
      </c>
      <c r="B133" s="2" t="s">
        <v>32</v>
      </c>
      <c r="C133" s="2">
        <v>3.0800000000000001E-2</v>
      </c>
      <c r="D133" s="3"/>
    </row>
    <row r="134" spans="1:4" ht="13.2" x14ac:dyDescent="0.25">
      <c r="A134" s="2" t="s">
        <v>177</v>
      </c>
      <c r="B134" s="2" t="s">
        <v>185</v>
      </c>
      <c r="C134" s="2">
        <v>0.03</v>
      </c>
      <c r="D134" s="3"/>
    </row>
    <row r="135" spans="1:4" ht="13.2" x14ac:dyDescent="0.25">
      <c r="A135" s="2" t="s">
        <v>177</v>
      </c>
      <c r="B135" s="2" t="s">
        <v>22</v>
      </c>
      <c r="C135" s="2">
        <v>0.08</v>
      </c>
      <c r="D135" s="3"/>
    </row>
    <row r="136" spans="1:4" ht="13.2" x14ac:dyDescent="0.25">
      <c r="A136" s="2" t="s">
        <v>177</v>
      </c>
      <c r="B136" s="2" t="s">
        <v>14</v>
      </c>
      <c r="C136" s="2">
        <v>5.7000000000000002E-2</v>
      </c>
      <c r="D136" s="3"/>
    </row>
    <row r="137" spans="1:4" ht="13.2" x14ac:dyDescent="0.25">
      <c r="A137" s="2" t="s">
        <v>177</v>
      </c>
      <c r="B137" s="2" t="s">
        <v>5</v>
      </c>
      <c r="C137" s="2">
        <v>0.1522</v>
      </c>
      <c r="D137" s="3"/>
    </row>
    <row r="138" spans="1:4" ht="13.2" x14ac:dyDescent="0.25">
      <c r="A138" s="2" t="s">
        <v>177</v>
      </c>
      <c r="B138" s="2" t="s">
        <v>15</v>
      </c>
      <c r="C138" s="2">
        <v>0.05</v>
      </c>
      <c r="D138" s="3"/>
    </row>
    <row r="139" spans="1:4" ht="13.2" x14ac:dyDescent="0.25">
      <c r="A139" s="2" t="s">
        <v>175</v>
      </c>
      <c r="B139" s="2" t="s">
        <v>10</v>
      </c>
      <c r="C139" s="2">
        <v>0.2</v>
      </c>
      <c r="D139" s="3"/>
    </row>
    <row r="140" spans="1:4" ht="13.2" x14ac:dyDescent="0.25">
      <c r="A140" s="2" t="s">
        <v>175</v>
      </c>
      <c r="B140" s="2" t="s">
        <v>13</v>
      </c>
      <c r="C140" s="2">
        <v>2E-3</v>
      </c>
      <c r="D140" s="3"/>
    </row>
    <row r="141" spans="1:4" ht="13.2" x14ac:dyDescent="0.25">
      <c r="A141" s="2" t="s">
        <v>175</v>
      </c>
      <c r="B141" s="2" t="s">
        <v>17</v>
      </c>
      <c r="C141" s="2">
        <v>2.7E-2</v>
      </c>
      <c r="D141" s="3"/>
    </row>
    <row r="142" spans="1:4" ht="13.2" x14ac:dyDescent="0.25">
      <c r="A142" s="2" t="s">
        <v>175</v>
      </c>
      <c r="B142" s="2" t="s">
        <v>1</v>
      </c>
      <c r="C142" s="2">
        <v>0.1</v>
      </c>
      <c r="D142" s="3"/>
    </row>
    <row r="143" spans="1:4" ht="13.2" x14ac:dyDescent="0.25">
      <c r="A143" s="2" t="s">
        <v>175</v>
      </c>
      <c r="B143" s="2" t="s">
        <v>3</v>
      </c>
      <c r="C143" s="2">
        <v>0.09</v>
      </c>
      <c r="D143" s="3"/>
    </row>
    <row r="144" spans="1:4" ht="13.2" x14ac:dyDescent="0.25">
      <c r="A144" s="2" t="s">
        <v>175</v>
      </c>
      <c r="B144" s="2" t="s">
        <v>2</v>
      </c>
      <c r="C144" s="2">
        <v>0.04</v>
      </c>
      <c r="D144" s="3"/>
    </row>
    <row r="145" spans="1:4" ht="13.2" x14ac:dyDescent="0.25">
      <c r="A145" s="2" t="s">
        <v>175</v>
      </c>
      <c r="B145" s="2" t="s">
        <v>4</v>
      </c>
      <c r="C145" s="2">
        <v>0.03</v>
      </c>
      <c r="D145" s="3"/>
    </row>
    <row r="146" spans="1:4" ht="13.2" x14ac:dyDescent="0.25">
      <c r="A146" s="2" t="s">
        <v>175</v>
      </c>
      <c r="B146" s="2" t="s">
        <v>16</v>
      </c>
      <c r="C146" s="2">
        <v>5.0999999999999997E-2</v>
      </c>
      <c r="D146" s="3"/>
    </row>
    <row r="147" spans="1:4" ht="13.2" x14ac:dyDescent="0.25">
      <c r="A147" s="2" t="s">
        <v>175</v>
      </c>
      <c r="B147" s="2" t="s">
        <v>11</v>
      </c>
      <c r="C147" s="2">
        <v>6.0000000000000001E-3</v>
      </c>
      <c r="D147" s="3"/>
    </row>
    <row r="148" spans="1:4" ht="13.2" x14ac:dyDescent="0.25">
      <c r="A148" s="2" t="s">
        <v>175</v>
      </c>
      <c r="B148" s="2" t="s">
        <v>20</v>
      </c>
      <c r="C148" s="2">
        <v>8.9999999999999993E-3</v>
      </c>
      <c r="D148" s="3"/>
    </row>
    <row r="149" spans="1:4" ht="13.2" x14ac:dyDescent="0.25">
      <c r="A149" s="2" t="s">
        <v>175</v>
      </c>
      <c r="B149" s="2" t="s">
        <v>18</v>
      </c>
      <c r="C149" s="2">
        <v>1.4E-2</v>
      </c>
      <c r="D149" s="3"/>
    </row>
    <row r="150" spans="1:4" ht="13.2" x14ac:dyDescent="0.25">
      <c r="A150" s="2" t="s">
        <v>175</v>
      </c>
      <c r="B150" s="2" t="s">
        <v>12</v>
      </c>
      <c r="C150" s="2">
        <v>3.0000000000000001E-3</v>
      </c>
      <c r="D150" s="3"/>
    </row>
    <row r="151" spans="1:4" ht="13.2" x14ac:dyDescent="0.25">
      <c r="A151" s="2" t="s">
        <v>175</v>
      </c>
      <c r="B151" s="2" t="s">
        <v>14</v>
      </c>
      <c r="C151" s="2">
        <v>0.21</v>
      </c>
      <c r="D151" s="3"/>
    </row>
    <row r="152" spans="1:4" ht="13.2" x14ac:dyDescent="0.25">
      <c r="A152" s="2" t="s">
        <v>175</v>
      </c>
      <c r="B152" s="2" t="s">
        <v>19</v>
      </c>
      <c r="C152" s="2">
        <v>3.3000000000000002E-2</v>
      </c>
      <c r="D152" s="3"/>
    </row>
    <row r="153" spans="1:4" ht="13.2" x14ac:dyDescent="0.25">
      <c r="A153" s="2" t="s">
        <v>175</v>
      </c>
      <c r="B153" s="2" t="s">
        <v>5</v>
      </c>
      <c r="C153" s="2">
        <v>8.5000000000000006E-2</v>
      </c>
      <c r="D153" s="3"/>
    </row>
    <row r="154" spans="1:4" ht="13.2" x14ac:dyDescent="0.25">
      <c r="A154" s="2" t="s">
        <v>175</v>
      </c>
      <c r="B154" s="2" t="s">
        <v>15</v>
      </c>
      <c r="C154" s="2">
        <v>0.1</v>
      </c>
      <c r="D154" s="3"/>
    </row>
    <row r="155" spans="1:4" ht="13.2" x14ac:dyDescent="0.25">
      <c r="A155" s="2" t="s">
        <v>178</v>
      </c>
      <c r="B155" s="2" t="s">
        <v>9</v>
      </c>
      <c r="C155" s="2">
        <v>0.04</v>
      </c>
      <c r="D155" s="3"/>
    </row>
    <row r="156" spans="1:4" ht="13.2" x14ac:dyDescent="0.25">
      <c r="A156" s="2" t="s">
        <v>178</v>
      </c>
      <c r="B156" s="2" t="s">
        <v>44</v>
      </c>
      <c r="C156" s="2">
        <v>0.06</v>
      </c>
      <c r="D156" s="3"/>
    </row>
    <row r="157" spans="1:4" ht="13.2" x14ac:dyDescent="0.25">
      <c r="A157" s="2" t="s">
        <v>178</v>
      </c>
      <c r="B157" s="2" t="s">
        <v>1</v>
      </c>
      <c r="C157" s="12">
        <f>0.3*0.1/(0.09+0.1)</f>
        <v>0.15789473684210525</v>
      </c>
      <c r="D157" s="11" t="s">
        <v>183</v>
      </c>
    </row>
    <row r="158" spans="1:4" ht="13.2" x14ac:dyDescent="0.25">
      <c r="A158" s="2" t="s">
        <v>178</v>
      </c>
      <c r="B158" s="2" t="s">
        <v>3</v>
      </c>
      <c r="C158" s="12">
        <f>0.3*0.09/(0.09+0.1)</f>
        <v>0.14210526315789473</v>
      </c>
      <c r="D158" s="11" t="s">
        <v>183</v>
      </c>
    </row>
    <row r="159" spans="1:4" ht="13.2" x14ac:dyDescent="0.25">
      <c r="A159" s="2" t="s">
        <v>178</v>
      </c>
      <c r="B159" s="2" t="s">
        <v>2</v>
      </c>
      <c r="C159" s="12">
        <f>0.09*0.04/(0.03+0.04)</f>
        <v>5.1428571428571421E-2</v>
      </c>
      <c r="D159" s="11" t="s">
        <v>184</v>
      </c>
    </row>
    <row r="160" spans="1:4" ht="13.2" x14ac:dyDescent="0.25">
      <c r="A160" s="2" t="s">
        <v>178</v>
      </c>
      <c r="B160" s="2" t="s">
        <v>4</v>
      </c>
      <c r="C160" s="12">
        <f>0.09*0.03/(0.03+0.04)</f>
        <v>3.8571428571428562E-2</v>
      </c>
      <c r="D160" s="11" t="s">
        <v>184</v>
      </c>
    </row>
    <row r="161" spans="1:4" ht="13.2" x14ac:dyDescent="0.25">
      <c r="A161" s="2" t="s">
        <v>178</v>
      </c>
      <c r="B161" s="2" t="s">
        <v>32</v>
      </c>
      <c r="C161" s="2">
        <v>0.02</v>
      </c>
      <c r="D161" s="3"/>
    </row>
    <row r="162" spans="1:4" ht="13.2" x14ac:dyDescent="0.25">
      <c r="A162" s="2" t="s">
        <v>178</v>
      </c>
      <c r="B162" s="2" t="s">
        <v>185</v>
      </c>
      <c r="C162" s="2">
        <v>0.04</v>
      </c>
      <c r="D162" s="3"/>
    </row>
    <row r="163" spans="1:4" ht="13.2" x14ac:dyDescent="0.25">
      <c r="A163" s="2" t="s">
        <v>178</v>
      </c>
      <c r="B163" s="2" t="s">
        <v>22</v>
      </c>
      <c r="C163" s="2">
        <v>0.06</v>
      </c>
      <c r="D163" s="3"/>
    </row>
    <row r="164" spans="1:4" ht="13.2" x14ac:dyDescent="0.25">
      <c r="A164" s="2" t="s">
        <v>178</v>
      </c>
      <c r="B164" s="2" t="s">
        <v>23</v>
      </c>
      <c r="C164" s="2">
        <v>0.12</v>
      </c>
      <c r="D164" s="3"/>
    </row>
    <row r="165" spans="1:4" ht="13.2" x14ac:dyDescent="0.25">
      <c r="A165" s="2" t="s">
        <v>178</v>
      </c>
      <c r="B165" s="2" t="s">
        <v>12</v>
      </c>
      <c r="C165" s="2">
        <v>0.05</v>
      </c>
      <c r="D165" s="3"/>
    </row>
    <row r="166" spans="1:4" ht="13.2" x14ac:dyDescent="0.25">
      <c r="A166" s="2" t="s">
        <v>178</v>
      </c>
      <c r="B166" s="2" t="s">
        <v>5</v>
      </c>
      <c r="C166" s="2">
        <v>0.22</v>
      </c>
      <c r="D166" s="3"/>
    </row>
    <row r="167" spans="1:4" ht="13.2" x14ac:dyDescent="0.25">
      <c r="A167" s="2" t="s">
        <v>191</v>
      </c>
      <c r="B167" s="2" t="s">
        <v>192</v>
      </c>
      <c r="C167" s="2">
        <v>7.1999999999999995E-2</v>
      </c>
      <c r="D167" s="2"/>
    </row>
    <row r="168" spans="1:4" ht="13.2" x14ac:dyDescent="0.25">
      <c r="A168" s="2" t="s">
        <v>191</v>
      </c>
      <c r="B168" s="2" t="s">
        <v>1</v>
      </c>
      <c r="C168" s="2">
        <v>0.26</v>
      </c>
      <c r="D168" s="2"/>
    </row>
    <row r="169" spans="1:4" ht="13.2" x14ac:dyDescent="0.25">
      <c r="A169" s="2" t="s">
        <v>191</v>
      </c>
      <c r="B169" s="2" t="s">
        <v>2</v>
      </c>
      <c r="C169" s="2">
        <v>0.08</v>
      </c>
      <c r="D169" s="2"/>
    </row>
    <row r="170" spans="1:4" ht="13.2" x14ac:dyDescent="0.25">
      <c r="A170" s="2" t="s">
        <v>191</v>
      </c>
      <c r="B170" s="2" t="s">
        <v>32</v>
      </c>
      <c r="C170" s="2">
        <f>0.005+0.02+0.01</f>
        <v>3.5000000000000003E-2</v>
      </c>
      <c r="D170" s="2"/>
    </row>
    <row r="171" spans="1:4" ht="13.2" x14ac:dyDescent="0.25">
      <c r="A171" s="2" t="s">
        <v>191</v>
      </c>
      <c r="B171" s="2" t="s">
        <v>23</v>
      </c>
      <c r="C171" s="2">
        <v>0.21</v>
      </c>
      <c r="D171" s="2"/>
    </row>
    <row r="172" spans="1:4" ht="13.2" x14ac:dyDescent="0.25">
      <c r="A172" s="2" t="s">
        <v>191</v>
      </c>
      <c r="B172" s="2" t="s">
        <v>14</v>
      </c>
      <c r="C172" s="2">
        <v>0.1</v>
      </c>
      <c r="D172" s="2"/>
    </row>
    <row r="173" spans="1:4" ht="13.2" x14ac:dyDescent="0.25">
      <c r="A173" s="2" t="s">
        <v>191</v>
      </c>
      <c r="B173" s="2" t="s">
        <v>5</v>
      </c>
      <c r="C173" s="2">
        <v>0.24299999999999999</v>
      </c>
      <c r="D173" s="2"/>
    </row>
    <row r="174" spans="1:4" ht="13.2" x14ac:dyDescent="0.25">
      <c r="A174" s="2" t="s">
        <v>187</v>
      </c>
      <c r="B174" s="2" t="s">
        <v>1</v>
      </c>
      <c r="C174" s="2">
        <v>0.2</v>
      </c>
      <c r="D174" s="3"/>
    </row>
    <row r="175" spans="1:4" ht="13.2" x14ac:dyDescent="0.25">
      <c r="A175" s="2" t="s">
        <v>187</v>
      </c>
      <c r="B175" s="2" t="s">
        <v>2</v>
      </c>
      <c r="C175" s="2">
        <v>0.09</v>
      </c>
      <c r="D175" s="2"/>
    </row>
    <row r="176" spans="1:4" ht="13.2" x14ac:dyDescent="0.25">
      <c r="A176" s="2" t="s">
        <v>187</v>
      </c>
      <c r="B176" s="2" t="s">
        <v>26</v>
      </c>
      <c r="C176" s="2">
        <v>0.01</v>
      </c>
      <c r="D176" s="2"/>
    </row>
    <row r="177" spans="1:4" ht="13.2" x14ac:dyDescent="0.25">
      <c r="A177" s="2" t="s">
        <v>187</v>
      </c>
      <c r="B177" s="2" t="s">
        <v>8</v>
      </c>
      <c r="C177" s="2">
        <v>0.03</v>
      </c>
      <c r="D177" s="2"/>
    </row>
    <row r="178" spans="1:4" ht="13.2" x14ac:dyDescent="0.25">
      <c r="A178" s="2" t="s">
        <v>187</v>
      </c>
      <c r="B178" s="2" t="s">
        <v>12</v>
      </c>
      <c r="C178" s="2">
        <v>0.06</v>
      </c>
      <c r="D178" s="2"/>
    </row>
    <row r="179" spans="1:4" ht="13.2" x14ac:dyDescent="0.25">
      <c r="A179" s="2" t="s">
        <v>187</v>
      </c>
      <c r="B179" s="2" t="s">
        <v>14</v>
      </c>
      <c r="C179" s="2">
        <v>0.36</v>
      </c>
      <c r="D179" s="2"/>
    </row>
    <row r="180" spans="1:4" ht="13.2" x14ac:dyDescent="0.25">
      <c r="A180" s="2" t="s">
        <v>187</v>
      </c>
      <c r="B180" s="2" t="s">
        <v>5</v>
      </c>
      <c r="C180" s="2">
        <v>0.1</v>
      </c>
      <c r="D180" s="2"/>
    </row>
    <row r="181" spans="1:4" ht="13.2" x14ac:dyDescent="0.25">
      <c r="A181" s="2" t="s">
        <v>187</v>
      </c>
      <c r="B181" s="2" t="s">
        <v>15</v>
      </c>
      <c r="C181" s="2">
        <v>0.15</v>
      </c>
      <c r="D181" s="2"/>
    </row>
    <row r="182" spans="1:4" ht="13.2" x14ac:dyDescent="0.25">
      <c r="A182" s="2" t="s">
        <v>225</v>
      </c>
      <c r="B182" t="s">
        <v>1</v>
      </c>
      <c r="C182">
        <v>0.18</v>
      </c>
    </row>
    <row r="183" spans="1:4" ht="13.2" x14ac:dyDescent="0.25">
      <c r="A183" s="2" t="s">
        <v>225</v>
      </c>
      <c r="B183" s="2" t="s">
        <v>5</v>
      </c>
      <c r="C183" s="15">
        <v>0.23</v>
      </c>
    </row>
    <row r="184" spans="1:4" ht="13.2" x14ac:dyDescent="0.25">
      <c r="A184" s="2" t="s">
        <v>225</v>
      </c>
      <c r="B184" s="2" t="s">
        <v>23</v>
      </c>
      <c r="C184">
        <v>0.34499999999999997</v>
      </c>
    </row>
    <row r="185" spans="1:4" ht="13.2" x14ac:dyDescent="0.25">
      <c r="A185" s="2" t="s">
        <v>225</v>
      </c>
      <c r="B185" t="s">
        <v>222</v>
      </c>
      <c r="C185">
        <v>4.0000000000000001E-3</v>
      </c>
    </row>
    <row r="186" spans="1:4" ht="13.2" x14ac:dyDescent="0.25">
      <c r="A186" s="2" t="s">
        <v>225</v>
      </c>
      <c r="B186" t="s">
        <v>25</v>
      </c>
      <c r="C186">
        <v>3.7999999999999999E-2</v>
      </c>
    </row>
    <row r="187" spans="1:4" ht="13.2" x14ac:dyDescent="0.25">
      <c r="A187" s="2" t="s">
        <v>225</v>
      </c>
      <c r="B187" t="s">
        <v>226</v>
      </c>
      <c r="C187">
        <v>8.0000000000000002E-3</v>
      </c>
    </row>
    <row r="188" spans="1:4" ht="13.2" x14ac:dyDescent="0.25">
      <c r="A188" s="2" t="s">
        <v>225</v>
      </c>
      <c r="B188" t="s">
        <v>223</v>
      </c>
      <c r="C188">
        <v>3.5999999999999997E-2</v>
      </c>
    </row>
    <row r="189" spans="1:4" ht="13.2" x14ac:dyDescent="0.25">
      <c r="A189" s="2" t="s">
        <v>225</v>
      </c>
      <c r="B189" t="s">
        <v>12</v>
      </c>
      <c r="C189">
        <v>2E-3</v>
      </c>
    </row>
    <row r="190" spans="1:4" ht="13.2" x14ac:dyDescent="0.25">
      <c r="A190" s="2" t="s">
        <v>225</v>
      </c>
      <c r="B190" t="s">
        <v>2</v>
      </c>
      <c r="C190">
        <v>1.1000000000000001E-2</v>
      </c>
    </row>
    <row r="191" spans="1:4" ht="13.2" x14ac:dyDescent="0.25">
      <c r="A191" s="2" t="s">
        <v>225</v>
      </c>
      <c r="B191" t="s">
        <v>19</v>
      </c>
      <c r="C191">
        <v>4.0000000000000001E-3</v>
      </c>
    </row>
    <row r="192" spans="1:4" ht="13.2" x14ac:dyDescent="0.25">
      <c r="A192" s="2" t="s">
        <v>225</v>
      </c>
      <c r="B192" t="s">
        <v>15</v>
      </c>
      <c r="C192">
        <v>0.02</v>
      </c>
    </row>
    <row r="193" spans="1:3" ht="13.2" x14ac:dyDescent="0.25">
      <c r="A193" s="2" t="s">
        <v>225</v>
      </c>
      <c r="B193" t="s">
        <v>32</v>
      </c>
      <c r="C193">
        <v>0.12300000000000001</v>
      </c>
    </row>
    <row r="194" spans="1:3" ht="13.2" x14ac:dyDescent="0.25">
      <c r="A194" s="2" t="s">
        <v>268</v>
      </c>
      <c r="B194" t="s">
        <v>1</v>
      </c>
      <c r="C194">
        <v>0.125</v>
      </c>
    </row>
    <row r="195" spans="1:3" ht="13.2" x14ac:dyDescent="0.25">
      <c r="A195" s="2" t="s">
        <v>268</v>
      </c>
      <c r="B195" t="s">
        <v>25</v>
      </c>
      <c r="C195">
        <v>0.15</v>
      </c>
    </row>
    <row r="196" spans="1:3" ht="13.2" x14ac:dyDescent="0.25">
      <c r="A196" s="2" t="s">
        <v>268</v>
      </c>
      <c r="B196" t="s">
        <v>256</v>
      </c>
      <c r="C196">
        <v>0.3</v>
      </c>
    </row>
    <row r="197" spans="1:3" ht="13.2" x14ac:dyDescent="0.25">
      <c r="A197" s="2" t="s">
        <v>268</v>
      </c>
      <c r="B197" t="s">
        <v>257</v>
      </c>
      <c r="C197">
        <v>4.7E-2</v>
      </c>
    </row>
    <row r="198" spans="1:3" ht="13.2" x14ac:dyDescent="0.25">
      <c r="A198" s="2" t="s">
        <v>268</v>
      </c>
      <c r="B198" t="s">
        <v>258</v>
      </c>
      <c r="C198">
        <v>0.02</v>
      </c>
    </row>
    <row r="199" spans="1:3" ht="13.2" x14ac:dyDescent="0.25">
      <c r="A199" s="2" t="s">
        <v>268</v>
      </c>
      <c r="B199" t="s">
        <v>259</v>
      </c>
      <c r="C199">
        <v>9.8000000000000004E-2</v>
      </c>
    </row>
    <row r="200" spans="1:3" ht="13.2" x14ac:dyDescent="0.25">
      <c r="A200" s="2" t="s">
        <v>268</v>
      </c>
      <c r="B200" t="s">
        <v>192</v>
      </c>
      <c r="C200">
        <v>0.09</v>
      </c>
    </row>
    <row r="201" spans="1:3" ht="13.2" x14ac:dyDescent="0.25">
      <c r="A201" s="2" t="s">
        <v>268</v>
      </c>
      <c r="B201" t="s">
        <v>32</v>
      </c>
      <c r="C201">
        <v>0.17</v>
      </c>
    </row>
    <row r="202" spans="1:3" ht="13.2" x14ac:dyDescent="0.25">
      <c r="A202" s="2" t="s">
        <v>269</v>
      </c>
      <c r="B202" t="s">
        <v>1</v>
      </c>
      <c r="C202">
        <v>0.85</v>
      </c>
    </row>
    <row r="203" spans="1:3" ht="13.2" x14ac:dyDescent="0.25">
      <c r="A203" s="2" t="s">
        <v>269</v>
      </c>
      <c r="B203" t="s">
        <v>25</v>
      </c>
      <c r="C203">
        <v>0.15</v>
      </c>
    </row>
    <row r="204" spans="1:3" ht="13.2" x14ac:dyDescent="0.25">
      <c r="A204" s="2" t="s">
        <v>207</v>
      </c>
      <c r="B204" t="s">
        <v>192</v>
      </c>
      <c r="C204" s="13">
        <v>0.05</v>
      </c>
    </row>
    <row r="205" spans="1:3" ht="13.2" x14ac:dyDescent="0.25">
      <c r="A205" s="2" t="s">
        <v>207</v>
      </c>
      <c r="B205" t="s">
        <v>1</v>
      </c>
      <c r="C205" s="13">
        <v>0.56000000000000005</v>
      </c>
    </row>
    <row r="206" spans="1:3" ht="13.2" x14ac:dyDescent="0.25">
      <c r="A206" s="2" t="s">
        <v>207</v>
      </c>
      <c r="B206" t="s">
        <v>3</v>
      </c>
      <c r="C206" s="13">
        <v>0.05</v>
      </c>
    </row>
    <row r="207" spans="1:3" ht="13.2" x14ac:dyDescent="0.25">
      <c r="A207" s="2" t="s">
        <v>207</v>
      </c>
      <c r="B207" t="s">
        <v>32</v>
      </c>
      <c r="C207" s="13">
        <v>2.9999999999999805E-2</v>
      </c>
    </row>
    <row r="208" spans="1:3" ht="13.2" x14ac:dyDescent="0.25">
      <c r="A208" s="2" t="s">
        <v>207</v>
      </c>
      <c r="B208" t="s">
        <v>23</v>
      </c>
      <c r="C208" s="13">
        <v>1.4999999999999999E-2</v>
      </c>
    </row>
    <row r="209" spans="1:3" ht="13.2" x14ac:dyDescent="0.25">
      <c r="A209" s="2" t="s">
        <v>207</v>
      </c>
      <c r="B209" t="s">
        <v>12</v>
      </c>
      <c r="C209" s="13">
        <v>1.4999999999999999E-2</v>
      </c>
    </row>
    <row r="210" spans="1:3" ht="13.2" x14ac:dyDescent="0.25">
      <c r="A210" s="2" t="s">
        <v>207</v>
      </c>
      <c r="B210" t="s">
        <v>5</v>
      </c>
      <c r="C210" s="13">
        <v>0.28000000000000003</v>
      </c>
    </row>
    <row r="211" spans="1:3" ht="13.2" x14ac:dyDescent="0.25">
      <c r="A211" s="2" t="s">
        <v>210</v>
      </c>
      <c r="B211" t="s">
        <v>1</v>
      </c>
      <c r="C211" s="13">
        <v>0.34</v>
      </c>
    </row>
    <row r="212" spans="1:3" ht="13.2" x14ac:dyDescent="0.25">
      <c r="A212" s="2" t="s">
        <v>210</v>
      </c>
      <c r="B212" t="s">
        <v>2</v>
      </c>
      <c r="C212" s="13">
        <v>2.8000000000000001E-2</v>
      </c>
    </row>
    <row r="213" spans="1:3" ht="13.2" x14ac:dyDescent="0.25">
      <c r="A213" s="2" t="s">
        <v>210</v>
      </c>
      <c r="B213" t="s">
        <v>32</v>
      </c>
      <c r="C213" s="13">
        <v>5.5999999999998273E-3</v>
      </c>
    </row>
    <row r="214" spans="1:3" ht="13.2" x14ac:dyDescent="0.25">
      <c r="A214" s="2" t="s">
        <v>210</v>
      </c>
      <c r="B214" t="s">
        <v>23</v>
      </c>
      <c r="C214" s="13">
        <v>0.17500000000000002</v>
      </c>
    </row>
    <row r="215" spans="1:3" ht="13.2" x14ac:dyDescent="0.25">
      <c r="A215" s="2" t="s">
        <v>210</v>
      </c>
      <c r="B215" t="s">
        <v>5</v>
      </c>
      <c r="C215" s="13">
        <v>0.45140000000000002</v>
      </c>
    </row>
    <row r="216" spans="1:3" ht="13.2" x14ac:dyDescent="0.25">
      <c r="A216" s="2" t="s">
        <v>212</v>
      </c>
      <c r="B216" s="2" t="s">
        <v>213</v>
      </c>
      <c r="C216" s="13">
        <v>0.12</v>
      </c>
    </row>
    <row r="217" spans="1:3" ht="13.2" x14ac:dyDescent="0.25">
      <c r="A217" s="2" t="s">
        <v>212</v>
      </c>
      <c r="B217" s="2" t="s">
        <v>192</v>
      </c>
      <c r="C217" s="13">
        <v>0.02</v>
      </c>
    </row>
    <row r="218" spans="1:3" ht="13.2" x14ac:dyDescent="0.25">
      <c r="A218" s="2" t="s">
        <v>212</v>
      </c>
      <c r="B218" s="2" t="s">
        <v>9</v>
      </c>
      <c r="C218" s="13">
        <v>0.1474</v>
      </c>
    </row>
    <row r="219" spans="1:3" ht="13.2" x14ac:dyDescent="0.25">
      <c r="A219" s="2" t="s">
        <v>212</v>
      </c>
      <c r="B219" s="2" t="s">
        <v>1</v>
      </c>
      <c r="C219" s="13">
        <v>0.2</v>
      </c>
    </row>
    <row r="220" spans="1:3" ht="13.2" x14ac:dyDescent="0.25">
      <c r="A220" s="2" t="s">
        <v>212</v>
      </c>
      <c r="B220" s="2" t="s">
        <v>32</v>
      </c>
      <c r="C220" s="13">
        <v>3.1000000000000028E-2</v>
      </c>
    </row>
    <row r="221" spans="1:3" ht="13.2" x14ac:dyDescent="0.25">
      <c r="A221" s="2" t="s">
        <v>212</v>
      </c>
      <c r="B221" s="2" t="s">
        <v>214</v>
      </c>
      <c r="C221" s="13">
        <v>1.15E-2</v>
      </c>
    </row>
    <row r="222" spans="1:3" ht="13.2" x14ac:dyDescent="0.25">
      <c r="A222" s="2" t="s">
        <v>212</v>
      </c>
      <c r="B222" s="2" t="s">
        <v>23</v>
      </c>
      <c r="C222" s="13">
        <v>0.47010000000000002</v>
      </c>
    </row>
    <row r="223" spans="1:3" ht="13.2" x14ac:dyDescent="0.25">
      <c r="A223" s="2" t="s">
        <v>218</v>
      </c>
      <c r="B223" s="2" t="s">
        <v>1</v>
      </c>
      <c r="C223" s="14">
        <v>0.1</v>
      </c>
    </row>
    <row r="224" spans="1:3" ht="13.2" x14ac:dyDescent="0.25">
      <c r="A224" s="2" t="s">
        <v>218</v>
      </c>
      <c r="B224" s="2" t="s">
        <v>2</v>
      </c>
      <c r="C224" s="14">
        <v>0.01</v>
      </c>
    </row>
    <row r="225" spans="1:3" ht="13.2" x14ac:dyDescent="0.25">
      <c r="A225" s="2" t="s">
        <v>218</v>
      </c>
      <c r="B225" s="2" t="s">
        <v>32</v>
      </c>
      <c r="C225" s="13">
        <v>9.2999999999999972E-2</v>
      </c>
    </row>
    <row r="226" spans="1:3" ht="13.2" x14ac:dyDescent="0.25">
      <c r="A226" s="2" t="s">
        <v>218</v>
      </c>
      <c r="B226" s="2" t="s">
        <v>22</v>
      </c>
      <c r="C226" s="14">
        <v>0.20300000000000001</v>
      </c>
    </row>
    <row r="227" spans="1:3" ht="13.2" x14ac:dyDescent="0.25">
      <c r="A227" s="2" t="s">
        <v>218</v>
      </c>
      <c r="B227" s="2" t="s">
        <v>23</v>
      </c>
      <c r="C227" s="14">
        <f>0.2+0.015</f>
        <v>0.21500000000000002</v>
      </c>
    </row>
    <row r="228" spans="1:3" ht="13.2" x14ac:dyDescent="0.25">
      <c r="A228" s="2" t="s">
        <v>218</v>
      </c>
      <c r="B228" s="2" t="s">
        <v>25</v>
      </c>
      <c r="C228" s="14">
        <v>0.06</v>
      </c>
    </row>
    <row r="229" spans="1:3" ht="13.2" x14ac:dyDescent="0.25">
      <c r="A229" s="2" t="s">
        <v>218</v>
      </c>
      <c r="B229" s="2" t="s">
        <v>5</v>
      </c>
      <c r="C229" s="14">
        <v>0.31900000000000001</v>
      </c>
    </row>
    <row r="230" spans="1:3" ht="13.2" x14ac:dyDescent="0.25"/>
    <row r="231" spans="1:3" ht="13.2" x14ac:dyDescent="0.25"/>
    <row r="232" spans="1:3" ht="13.2" x14ac:dyDescent="0.25"/>
    <row r="233" spans="1:3" ht="13.2" x14ac:dyDescent="0.25"/>
    <row r="234" spans="1:3" ht="13.2" x14ac:dyDescent="0.25"/>
    <row r="235" spans="1:3" ht="13.2" x14ac:dyDescent="0.25"/>
    <row r="236" spans="1:3" ht="13.2" x14ac:dyDescent="0.25"/>
    <row r="237" spans="1:3" ht="13.2" x14ac:dyDescent="0.25"/>
    <row r="238" spans="1:3" ht="13.2" x14ac:dyDescent="0.25"/>
    <row r="239" spans="1:3" ht="13.2" x14ac:dyDescent="0.25"/>
    <row r="240" spans="1:3" ht="13.2" x14ac:dyDescent="0.25"/>
    <row r="241" ht="13.2" x14ac:dyDescent="0.25"/>
    <row r="242" ht="13.2" x14ac:dyDescent="0.25"/>
    <row r="243" ht="13.2" x14ac:dyDescent="0.25"/>
    <row r="244" ht="13.2" x14ac:dyDescent="0.25"/>
    <row r="245" ht="13.2" x14ac:dyDescent="0.25"/>
    <row r="246" ht="13.2" x14ac:dyDescent="0.25"/>
    <row r="247" ht="13.2" x14ac:dyDescent="0.25"/>
    <row r="248" ht="13.2" x14ac:dyDescent="0.25"/>
    <row r="249" ht="13.2" x14ac:dyDescent="0.25"/>
    <row r="250" ht="13.2" x14ac:dyDescent="0.25"/>
    <row r="251" ht="13.2" x14ac:dyDescent="0.25"/>
    <row r="252" ht="13.2" x14ac:dyDescent="0.25"/>
    <row r="253" ht="13.2" x14ac:dyDescent="0.25"/>
    <row r="254" ht="13.2" x14ac:dyDescent="0.25"/>
    <row r="255" ht="13.2" x14ac:dyDescent="0.25"/>
    <row r="256" ht="13.2" x14ac:dyDescent="0.25"/>
    <row r="257" ht="13.2" x14ac:dyDescent="0.25"/>
    <row r="258" ht="13.2" x14ac:dyDescent="0.25"/>
    <row r="259" ht="13.2" x14ac:dyDescent="0.25"/>
    <row r="260" ht="13.2" x14ac:dyDescent="0.25"/>
    <row r="261" ht="13.2" x14ac:dyDescent="0.25"/>
    <row r="262" ht="13.2" x14ac:dyDescent="0.25"/>
    <row r="263" ht="13.2" x14ac:dyDescent="0.25"/>
    <row r="264" ht="13.2" x14ac:dyDescent="0.25"/>
    <row r="265" ht="13.2" x14ac:dyDescent="0.25"/>
    <row r="266" ht="13.2" x14ac:dyDescent="0.25"/>
    <row r="267" ht="13.2" x14ac:dyDescent="0.25"/>
    <row r="268" ht="13.2" x14ac:dyDescent="0.25"/>
    <row r="269" ht="13.2" x14ac:dyDescent="0.25"/>
    <row r="270" ht="13.2" x14ac:dyDescent="0.25"/>
    <row r="271" ht="13.2" x14ac:dyDescent="0.25"/>
    <row r="272" ht="13.2" x14ac:dyDescent="0.25"/>
    <row r="273" ht="13.2" x14ac:dyDescent="0.25"/>
    <row r="274" ht="13.2" x14ac:dyDescent="0.25"/>
    <row r="275" ht="13.2" x14ac:dyDescent="0.25"/>
    <row r="276" ht="13.2" x14ac:dyDescent="0.25"/>
    <row r="277" ht="13.2" x14ac:dyDescent="0.25"/>
    <row r="278" ht="13.2" x14ac:dyDescent="0.25"/>
    <row r="279" ht="13.2" x14ac:dyDescent="0.25"/>
    <row r="280" ht="13.2" x14ac:dyDescent="0.25"/>
    <row r="281" ht="13.2" x14ac:dyDescent="0.25"/>
    <row r="282" ht="13.2" x14ac:dyDescent="0.25"/>
    <row r="283" ht="13.2" x14ac:dyDescent="0.25"/>
    <row r="284" ht="13.2" x14ac:dyDescent="0.25"/>
    <row r="285" ht="13.2" x14ac:dyDescent="0.25"/>
    <row r="286" ht="13.2" x14ac:dyDescent="0.25"/>
    <row r="287" ht="13.2" x14ac:dyDescent="0.25"/>
    <row r="288" ht="13.2" x14ac:dyDescent="0.25"/>
    <row r="289" ht="13.2" x14ac:dyDescent="0.25"/>
    <row r="290" ht="13.2" x14ac:dyDescent="0.25"/>
    <row r="291" ht="13.2" x14ac:dyDescent="0.25"/>
    <row r="292" ht="13.2" x14ac:dyDescent="0.25"/>
    <row r="293" ht="13.2" x14ac:dyDescent="0.25"/>
    <row r="294" ht="13.2" x14ac:dyDescent="0.25"/>
    <row r="295" ht="13.2" x14ac:dyDescent="0.25"/>
    <row r="296" ht="13.2" x14ac:dyDescent="0.25"/>
    <row r="297" ht="13.2" x14ac:dyDescent="0.25"/>
    <row r="298" ht="13.2" x14ac:dyDescent="0.25"/>
    <row r="299" ht="13.2" x14ac:dyDescent="0.25"/>
    <row r="300" ht="13.2" x14ac:dyDescent="0.25"/>
    <row r="301" ht="13.2" x14ac:dyDescent="0.25"/>
    <row r="302" ht="13.2" x14ac:dyDescent="0.25"/>
    <row r="303" ht="13.2" x14ac:dyDescent="0.25"/>
    <row r="304" ht="13.2" x14ac:dyDescent="0.25"/>
    <row r="305" ht="13.2" x14ac:dyDescent="0.25"/>
    <row r="306" ht="13.2" x14ac:dyDescent="0.25"/>
    <row r="307" ht="13.2" x14ac:dyDescent="0.25"/>
    <row r="308" ht="13.2" x14ac:dyDescent="0.25"/>
    <row r="309" ht="13.2" x14ac:dyDescent="0.25"/>
    <row r="310" ht="13.2" x14ac:dyDescent="0.25"/>
    <row r="311" ht="13.2" x14ac:dyDescent="0.25"/>
    <row r="312" ht="13.2" x14ac:dyDescent="0.25"/>
    <row r="313" ht="13.2" x14ac:dyDescent="0.25"/>
    <row r="314" ht="13.2" x14ac:dyDescent="0.25"/>
    <row r="315" ht="13.2" x14ac:dyDescent="0.25"/>
    <row r="316" ht="13.2" x14ac:dyDescent="0.25"/>
    <row r="317" ht="13.2" x14ac:dyDescent="0.25"/>
    <row r="318" ht="13.2" x14ac:dyDescent="0.25"/>
    <row r="319" ht="13.2" x14ac:dyDescent="0.25"/>
    <row r="320" ht="13.2" x14ac:dyDescent="0.25"/>
    <row r="321" ht="13.2" x14ac:dyDescent="0.25"/>
    <row r="322" ht="13.2" x14ac:dyDescent="0.25"/>
    <row r="323" ht="13.2" x14ac:dyDescent="0.25"/>
    <row r="324" ht="13.2" x14ac:dyDescent="0.25"/>
    <row r="325" ht="13.2" x14ac:dyDescent="0.25"/>
    <row r="326" ht="13.2" x14ac:dyDescent="0.25"/>
    <row r="327" ht="13.2" x14ac:dyDescent="0.25"/>
    <row r="328" ht="13.2" x14ac:dyDescent="0.25"/>
    <row r="329" ht="13.2" x14ac:dyDescent="0.25"/>
    <row r="330" ht="13.2" x14ac:dyDescent="0.25"/>
    <row r="331" ht="13.2" x14ac:dyDescent="0.25"/>
    <row r="332" ht="13.2" x14ac:dyDescent="0.25"/>
    <row r="333" ht="13.2" x14ac:dyDescent="0.25"/>
    <row r="334" ht="13.2" x14ac:dyDescent="0.25"/>
    <row r="335" ht="13.2" x14ac:dyDescent="0.25"/>
    <row r="336" ht="13.2" x14ac:dyDescent="0.25"/>
    <row r="337" ht="13.2" x14ac:dyDescent="0.25"/>
    <row r="338" ht="13.2" x14ac:dyDescent="0.25"/>
    <row r="339" ht="13.2" x14ac:dyDescent="0.25"/>
    <row r="340" ht="13.2" x14ac:dyDescent="0.25"/>
    <row r="341" ht="13.2" x14ac:dyDescent="0.25"/>
    <row r="342" ht="13.2" x14ac:dyDescent="0.25"/>
    <row r="343" ht="13.2" x14ac:dyDescent="0.25"/>
    <row r="344" ht="13.2" x14ac:dyDescent="0.25"/>
    <row r="345" ht="13.2" x14ac:dyDescent="0.25"/>
    <row r="346" ht="13.2" x14ac:dyDescent="0.25"/>
    <row r="347" ht="13.2" x14ac:dyDescent="0.25"/>
    <row r="348" ht="13.2" x14ac:dyDescent="0.25"/>
    <row r="349" ht="13.2" x14ac:dyDescent="0.25"/>
    <row r="350" ht="13.2" x14ac:dyDescent="0.25"/>
    <row r="351" ht="13.2" x14ac:dyDescent="0.25"/>
    <row r="352" ht="13.2" x14ac:dyDescent="0.25"/>
    <row r="353" ht="13.2" x14ac:dyDescent="0.25"/>
    <row r="354" ht="13.2" x14ac:dyDescent="0.25"/>
    <row r="355" ht="13.2" x14ac:dyDescent="0.25"/>
    <row r="356" ht="13.2" x14ac:dyDescent="0.25"/>
    <row r="357" ht="13.2" x14ac:dyDescent="0.25"/>
    <row r="358" ht="13.2" x14ac:dyDescent="0.25"/>
    <row r="359" ht="13.2" x14ac:dyDescent="0.25"/>
    <row r="360" ht="13.2" x14ac:dyDescent="0.25"/>
    <row r="361" ht="13.2" x14ac:dyDescent="0.25"/>
    <row r="362" ht="13.2" x14ac:dyDescent="0.25"/>
    <row r="363" ht="13.2" x14ac:dyDescent="0.25"/>
    <row r="364" ht="13.2" x14ac:dyDescent="0.25"/>
    <row r="365" ht="13.2" x14ac:dyDescent="0.25"/>
    <row r="366" ht="13.2" x14ac:dyDescent="0.25"/>
    <row r="367" ht="13.2" x14ac:dyDescent="0.25"/>
    <row r="368" ht="13.2" x14ac:dyDescent="0.25"/>
    <row r="369" ht="13.2" x14ac:dyDescent="0.25"/>
    <row r="370" ht="13.2" x14ac:dyDescent="0.25"/>
    <row r="371" ht="13.2" x14ac:dyDescent="0.25"/>
    <row r="372" ht="13.2" x14ac:dyDescent="0.25"/>
    <row r="373" ht="13.2" x14ac:dyDescent="0.25"/>
    <row r="374" ht="13.2" x14ac:dyDescent="0.25"/>
    <row r="375" ht="13.2" x14ac:dyDescent="0.25"/>
    <row r="376" ht="13.2" x14ac:dyDescent="0.25"/>
    <row r="377" ht="13.2" x14ac:dyDescent="0.25"/>
    <row r="378" ht="13.2" x14ac:dyDescent="0.25"/>
    <row r="379" ht="13.2" x14ac:dyDescent="0.25"/>
    <row r="380" ht="13.2" x14ac:dyDescent="0.25"/>
    <row r="381" ht="13.2" x14ac:dyDescent="0.25"/>
    <row r="382" ht="13.2" x14ac:dyDescent="0.25"/>
    <row r="383" ht="13.2" x14ac:dyDescent="0.25"/>
    <row r="384" ht="13.2" x14ac:dyDescent="0.25"/>
    <row r="385" ht="13.2" x14ac:dyDescent="0.25"/>
    <row r="386" ht="13.2" x14ac:dyDescent="0.25"/>
    <row r="387" ht="13.2" x14ac:dyDescent="0.25"/>
    <row r="388" ht="13.2" x14ac:dyDescent="0.25"/>
    <row r="389" ht="13.2" x14ac:dyDescent="0.25"/>
    <row r="390" ht="13.2" x14ac:dyDescent="0.25"/>
    <row r="391" ht="13.2" x14ac:dyDescent="0.25"/>
    <row r="392" ht="13.2" x14ac:dyDescent="0.25"/>
    <row r="393" ht="13.2" x14ac:dyDescent="0.25"/>
    <row r="394" ht="13.2" x14ac:dyDescent="0.25"/>
    <row r="395" ht="13.2" x14ac:dyDescent="0.25"/>
    <row r="396" ht="13.2" x14ac:dyDescent="0.25"/>
    <row r="397" ht="13.2" x14ac:dyDescent="0.25"/>
    <row r="398" ht="13.2" x14ac:dyDescent="0.25"/>
    <row r="399" ht="13.2" x14ac:dyDescent="0.25"/>
    <row r="400" ht="13.2" x14ac:dyDescent="0.25"/>
    <row r="401" ht="13.2" x14ac:dyDescent="0.25"/>
    <row r="402" ht="13.2" x14ac:dyDescent="0.25"/>
    <row r="403" ht="13.2" x14ac:dyDescent="0.25"/>
    <row r="404" ht="13.2" x14ac:dyDescent="0.25"/>
    <row r="405" ht="13.2" x14ac:dyDescent="0.25"/>
    <row r="406" ht="13.2" x14ac:dyDescent="0.25"/>
    <row r="407" ht="13.2" x14ac:dyDescent="0.25"/>
    <row r="408" ht="13.2" x14ac:dyDescent="0.25"/>
    <row r="409" ht="13.2" x14ac:dyDescent="0.25"/>
    <row r="410" ht="13.2" x14ac:dyDescent="0.25"/>
    <row r="411" ht="13.2" x14ac:dyDescent="0.25"/>
    <row r="412" ht="13.2" x14ac:dyDescent="0.25"/>
    <row r="413" ht="13.2" x14ac:dyDescent="0.25"/>
    <row r="414" ht="13.2" x14ac:dyDescent="0.25"/>
    <row r="415" ht="13.2" x14ac:dyDescent="0.25"/>
    <row r="416" ht="13.2" x14ac:dyDescent="0.25"/>
    <row r="417" ht="13.2" x14ac:dyDescent="0.25"/>
    <row r="418" ht="13.2" x14ac:dyDescent="0.25"/>
    <row r="419" ht="13.2" x14ac:dyDescent="0.25"/>
    <row r="420" ht="13.2" x14ac:dyDescent="0.25"/>
    <row r="421" ht="13.2" x14ac:dyDescent="0.25"/>
    <row r="422" ht="13.2" x14ac:dyDescent="0.25"/>
    <row r="423" ht="13.2" x14ac:dyDescent="0.25"/>
    <row r="424" ht="13.2" x14ac:dyDescent="0.25"/>
    <row r="425" ht="13.2" x14ac:dyDescent="0.25"/>
    <row r="426" ht="13.2" x14ac:dyDescent="0.25"/>
    <row r="427" ht="13.2" x14ac:dyDescent="0.25"/>
    <row r="428" ht="13.2" x14ac:dyDescent="0.25"/>
    <row r="429" ht="13.2" x14ac:dyDescent="0.25"/>
    <row r="430" ht="13.2" x14ac:dyDescent="0.25"/>
    <row r="431" ht="13.2" x14ac:dyDescent="0.25"/>
    <row r="432" ht="13.2" x14ac:dyDescent="0.25"/>
    <row r="433" ht="13.2" x14ac:dyDescent="0.25"/>
    <row r="434" ht="13.2" x14ac:dyDescent="0.25"/>
    <row r="435" ht="13.2" x14ac:dyDescent="0.25"/>
    <row r="436" ht="13.2" x14ac:dyDescent="0.25"/>
    <row r="437" ht="13.2" x14ac:dyDescent="0.25"/>
    <row r="438" ht="13.2" x14ac:dyDescent="0.25"/>
    <row r="439" ht="13.2" x14ac:dyDescent="0.25"/>
    <row r="440" ht="13.2" x14ac:dyDescent="0.25"/>
    <row r="441" ht="13.2" x14ac:dyDescent="0.25"/>
    <row r="442" ht="13.2" x14ac:dyDescent="0.25"/>
    <row r="443" ht="13.2" x14ac:dyDescent="0.25"/>
    <row r="444" ht="13.2" x14ac:dyDescent="0.25"/>
    <row r="445" ht="13.2" x14ac:dyDescent="0.25"/>
    <row r="446" ht="13.2" x14ac:dyDescent="0.25"/>
    <row r="447" ht="13.2" x14ac:dyDescent="0.25"/>
    <row r="448" ht="13.2" x14ac:dyDescent="0.25"/>
    <row r="449" ht="13.2" x14ac:dyDescent="0.25"/>
    <row r="450" ht="13.2" x14ac:dyDescent="0.25"/>
    <row r="451" ht="13.2" x14ac:dyDescent="0.25"/>
    <row r="452" ht="13.2" x14ac:dyDescent="0.25"/>
    <row r="453" ht="13.2" x14ac:dyDescent="0.25"/>
    <row r="454" ht="13.2" x14ac:dyDescent="0.25"/>
    <row r="455" ht="13.2" x14ac:dyDescent="0.25"/>
    <row r="456" ht="13.2" x14ac:dyDescent="0.25"/>
    <row r="457" ht="13.2" x14ac:dyDescent="0.25"/>
    <row r="458" ht="13.2" x14ac:dyDescent="0.25"/>
    <row r="459" ht="13.2" x14ac:dyDescent="0.25"/>
    <row r="460" ht="13.2" x14ac:dyDescent="0.25"/>
    <row r="461" ht="13.2" x14ac:dyDescent="0.25"/>
    <row r="462" ht="13.2" x14ac:dyDescent="0.25"/>
    <row r="463" ht="13.2" x14ac:dyDescent="0.25"/>
    <row r="464" ht="13.2" x14ac:dyDescent="0.25"/>
    <row r="465" ht="13.2" x14ac:dyDescent="0.25"/>
    <row r="466" ht="13.2" x14ac:dyDescent="0.25"/>
    <row r="467" ht="13.2" x14ac:dyDescent="0.25"/>
    <row r="468" ht="13.2" x14ac:dyDescent="0.25"/>
    <row r="469" ht="13.2" x14ac:dyDescent="0.25"/>
    <row r="470" ht="13.2" x14ac:dyDescent="0.25"/>
    <row r="471" ht="13.2" x14ac:dyDescent="0.25"/>
    <row r="472" ht="13.2" x14ac:dyDescent="0.25"/>
    <row r="473" ht="13.2" x14ac:dyDescent="0.25"/>
    <row r="474" ht="13.2" x14ac:dyDescent="0.25"/>
    <row r="475" ht="13.2" x14ac:dyDescent="0.25"/>
    <row r="476" ht="13.2" x14ac:dyDescent="0.25"/>
    <row r="477" ht="13.2" x14ac:dyDescent="0.25"/>
    <row r="478" ht="13.2" x14ac:dyDescent="0.25"/>
    <row r="479" ht="13.2" x14ac:dyDescent="0.25"/>
    <row r="480" ht="13.2" x14ac:dyDescent="0.25"/>
    <row r="481" ht="13.2" x14ac:dyDescent="0.25"/>
    <row r="482" ht="13.2" x14ac:dyDescent="0.25"/>
    <row r="483" ht="13.2" x14ac:dyDescent="0.25"/>
    <row r="484" ht="13.2" x14ac:dyDescent="0.25"/>
    <row r="485" ht="13.2" x14ac:dyDescent="0.25"/>
    <row r="486" ht="13.2" x14ac:dyDescent="0.25"/>
    <row r="487" ht="13.2" x14ac:dyDescent="0.25"/>
    <row r="488" ht="13.2" x14ac:dyDescent="0.25"/>
    <row r="489" ht="13.2" x14ac:dyDescent="0.25"/>
    <row r="490" ht="13.2" x14ac:dyDescent="0.25"/>
    <row r="491" ht="13.2" x14ac:dyDescent="0.25"/>
    <row r="492" ht="13.2" x14ac:dyDescent="0.25"/>
    <row r="493" ht="13.2" x14ac:dyDescent="0.25"/>
    <row r="494" ht="13.2" x14ac:dyDescent="0.25"/>
    <row r="495" ht="13.2" x14ac:dyDescent="0.25"/>
    <row r="496" ht="13.2" x14ac:dyDescent="0.25"/>
    <row r="497" ht="13.2" x14ac:dyDescent="0.25"/>
    <row r="498" ht="13.2" x14ac:dyDescent="0.25"/>
    <row r="499" ht="13.2" x14ac:dyDescent="0.25"/>
    <row r="500" ht="13.2" x14ac:dyDescent="0.25"/>
    <row r="501" ht="13.2" x14ac:dyDescent="0.25"/>
    <row r="502" ht="13.2" x14ac:dyDescent="0.25"/>
    <row r="503" ht="13.2" x14ac:dyDescent="0.25"/>
    <row r="504" ht="13.2" x14ac:dyDescent="0.25"/>
    <row r="505" ht="13.2" x14ac:dyDescent="0.25"/>
    <row r="506" ht="13.2" x14ac:dyDescent="0.25"/>
    <row r="507" ht="13.2" x14ac:dyDescent="0.25"/>
    <row r="508" ht="13.2" x14ac:dyDescent="0.25"/>
    <row r="509" ht="13.2" x14ac:dyDescent="0.25"/>
    <row r="510" ht="13.2" x14ac:dyDescent="0.25"/>
    <row r="511" ht="13.2" x14ac:dyDescent="0.25"/>
    <row r="512"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row r="1001" ht="13.2" x14ac:dyDescent="0.25"/>
    <row r="1002" ht="13.2" x14ac:dyDescent="0.25"/>
    <row r="1003" ht="13.2" x14ac:dyDescent="0.25"/>
    <row r="1004" ht="13.2" x14ac:dyDescent="0.25"/>
    <row r="1005" ht="13.2" x14ac:dyDescent="0.25"/>
    <row r="1006" ht="13.2" x14ac:dyDescent="0.25"/>
    <row r="1007" ht="13.2" x14ac:dyDescent="0.25"/>
    <row r="1008" ht="13.2" x14ac:dyDescent="0.25"/>
    <row r="1009" ht="13.2" x14ac:dyDescent="0.25"/>
    <row r="1010" ht="13.2" x14ac:dyDescent="0.25"/>
    <row r="1011" ht="13.2" x14ac:dyDescent="0.25"/>
    <row r="1012" ht="13.2" x14ac:dyDescent="0.25"/>
    <row r="1013" ht="13.2" x14ac:dyDescent="0.25"/>
    <row r="1014" ht="13.2" x14ac:dyDescent="0.25"/>
    <row r="1015" ht="13.2" x14ac:dyDescent="0.25"/>
    <row r="1016" ht="13.2" x14ac:dyDescent="0.25"/>
    <row r="1017" ht="13.2" x14ac:dyDescent="0.25"/>
    <row r="1018" ht="13.2" x14ac:dyDescent="0.25"/>
    <row r="1019" ht="13.2" x14ac:dyDescent="0.25"/>
    <row r="1020" ht="13.2" x14ac:dyDescent="0.25"/>
    <row r="1021" ht="13.2" x14ac:dyDescent="0.25"/>
    <row r="1022" ht="13.2" x14ac:dyDescent="0.25"/>
    <row r="1023" ht="13.2" x14ac:dyDescent="0.25"/>
    <row r="1024" ht="13.2" x14ac:dyDescent="0.25"/>
    <row r="1025" ht="13.2" x14ac:dyDescent="0.25"/>
    <row r="1026" ht="13.2" x14ac:dyDescent="0.25"/>
    <row r="1027" ht="13.2" x14ac:dyDescent="0.25"/>
    <row r="1028" ht="13.2" x14ac:dyDescent="0.25"/>
    <row r="1029" ht="13.2" x14ac:dyDescent="0.25"/>
    <row r="1030" ht="13.2" x14ac:dyDescent="0.25"/>
    <row r="1031" ht="13.2" x14ac:dyDescent="0.25"/>
    <row r="1032" ht="13.2" x14ac:dyDescent="0.25"/>
    <row r="1033" ht="13.2" x14ac:dyDescent="0.25"/>
    <row r="1034" ht="13.2" x14ac:dyDescent="0.25"/>
    <row r="1035" ht="13.2" x14ac:dyDescent="0.25"/>
    <row r="1036" ht="13.2" x14ac:dyDescent="0.25"/>
    <row r="1037" ht="13.2" x14ac:dyDescent="0.25"/>
    <row r="1038" ht="13.2" x14ac:dyDescent="0.25"/>
    <row r="1039" ht="13.2" x14ac:dyDescent="0.25"/>
    <row r="1040" ht="13.2" x14ac:dyDescent="0.25"/>
    <row r="1041" ht="13.2" x14ac:dyDescent="0.25"/>
    <row r="1042" ht="13.2" x14ac:dyDescent="0.25"/>
    <row r="1043" ht="13.2" x14ac:dyDescent="0.25"/>
    <row r="1044" ht="13.2" x14ac:dyDescent="0.25"/>
    <row r="1045" ht="13.2" x14ac:dyDescent="0.25"/>
    <row r="1046" ht="13.2" x14ac:dyDescent="0.25"/>
    <row r="1047" ht="13.2" x14ac:dyDescent="0.25"/>
    <row r="1048" ht="13.2" x14ac:dyDescent="0.25"/>
    <row r="1049" ht="13.2" x14ac:dyDescent="0.25"/>
    <row r="1050" ht="13.2" x14ac:dyDescent="0.25"/>
    <row r="1051" ht="13.2" x14ac:dyDescent="0.25"/>
    <row r="1052" ht="13.2" x14ac:dyDescent="0.25"/>
    <row r="1053" ht="13.2" x14ac:dyDescent="0.25"/>
    <row r="1054" ht="13.2" x14ac:dyDescent="0.25"/>
    <row r="1055" ht="13.2" x14ac:dyDescent="0.25"/>
    <row r="1056" ht="13.2" x14ac:dyDescent="0.25"/>
    <row r="1057" ht="13.2" x14ac:dyDescent="0.25"/>
    <row r="1058" ht="13.2" x14ac:dyDescent="0.25"/>
    <row r="1059" ht="13.2" x14ac:dyDescent="0.25"/>
    <row r="1060" ht="13.2" x14ac:dyDescent="0.25"/>
    <row r="1061" ht="13.2" x14ac:dyDescent="0.25"/>
    <row r="1062" ht="13.2" x14ac:dyDescent="0.25"/>
    <row r="1063" ht="13.2" x14ac:dyDescent="0.25"/>
    <row r="1064" ht="13.2" x14ac:dyDescent="0.25"/>
    <row r="1065" ht="13.2" x14ac:dyDescent="0.25"/>
    <row r="1066" ht="13.2" x14ac:dyDescent="0.25"/>
    <row r="1067" ht="13.2" x14ac:dyDescent="0.25"/>
    <row r="1068" ht="13.2" x14ac:dyDescent="0.25"/>
    <row r="1069" ht="13.2" x14ac:dyDescent="0.25"/>
    <row r="1070" ht="13.2" x14ac:dyDescent="0.25"/>
    <row r="1071" ht="13.2" x14ac:dyDescent="0.25"/>
    <row r="1072" ht="13.2" x14ac:dyDescent="0.25"/>
    <row r="1073" ht="13.2" x14ac:dyDescent="0.25"/>
    <row r="1074" ht="13.2" x14ac:dyDescent="0.25"/>
    <row r="1075" ht="13.2" x14ac:dyDescent="0.25"/>
    <row r="1076" ht="13.2" x14ac:dyDescent="0.25"/>
    <row r="1077" ht="13.2" x14ac:dyDescent="0.25"/>
    <row r="1078" ht="13.2" x14ac:dyDescent="0.25"/>
    <row r="1079" ht="13.2" x14ac:dyDescent="0.25"/>
    <row r="1080" ht="13.2" x14ac:dyDescent="0.25"/>
    <row r="1081" ht="13.2" x14ac:dyDescent="0.25"/>
    <row r="1082" ht="13.2" x14ac:dyDescent="0.25"/>
    <row r="1083" ht="13.2" x14ac:dyDescent="0.25"/>
    <row r="1084" ht="13.2" x14ac:dyDescent="0.25"/>
    <row r="1085" ht="13.2" x14ac:dyDescent="0.25"/>
    <row r="1086" ht="13.2" x14ac:dyDescent="0.25"/>
    <row r="1087" ht="13.2" x14ac:dyDescent="0.25"/>
    <row r="1088" ht="13.2" x14ac:dyDescent="0.25"/>
    <row r="1089" ht="13.2" x14ac:dyDescent="0.25"/>
    <row r="1090" ht="13.2" x14ac:dyDescent="0.25"/>
    <row r="1091" ht="13.2" x14ac:dyDescent="0.25"/>
    <row r="1092" ht="13.2" x14ac:dyDescent="0.25"/>
    <row r="1093" ht="13.2" x14ac:dyDescent="0.25"/>
    <row r="1094" ht="13.2" x14ac:dyDescent="0.25"/>
    <row r="1095" ht="13.2" x14ac:dyDescent="0.25"/>
    <row r="1096" ht="13.2" x14ac:dyDescent="0.25"/>
    <row r="1097" ht="13.2" x14ac:dyDescent="0.25"/>
    <row r="1098" ht="13.2" x14ac:dyDescent="0.25"/>
    <row r="1099" ht="13.2" x14ac:dyDescent="0.25"/>
    <row r="1100" ht="13.2" x14ac:dyDescent="0.25"/>
    <row r="1101" ht="13.2" x14ac:dyDescent="0.25"/>
    <row r="1102" ht="13.2" x14ac:dyDescent="0.25"/>
    <row r="1103" ht="13.2" x14ac:dyDescent="0.25"/>
    <row r="1104" ht="13.2" x14ac:dyDescent="0.25"/>
    <row r="1105" ht="13.2" x14ac:dyDescent="0.25"/>
    <row r="1106" ht="13.2" x14ac:dyDescent="0.25"/>
    <row r="1107" ht="13.2" x14ac:dyDescent="0.25"/>
    <row r="1108" ht="13.2" x14ac:dyDescent="0.25"/>
    <row r="1109" ht="13.2" x14ac:dyDescent="0.25"/>
    <row r="1110" ht="13.2" x14ac:dyDescent="0.25"/>
    <row r="1111" ht="13.2" x14ac:dyDescent="0.25"/>
    <row r="1112" ht="13.2" x14ac:dyDescent="0.25"/>
    <row r="1113" ht="13.2" x14ac:dyDescent="0.25"/>
    <row r="1114" ht="13.2" x14ac:dyDescent="0.25"/>
    <row r="1115" ht="13.2" x14ac:dyDescent="0.25"/>
    <row r="1116" ht="13.2" x14ac:dyDescent="0.25"/>
    <row r="1117" ht="13.2" x14ac:dyDescent="0.25"/>
    <row r="1118" ht="13.2" x14ac:dyDescent="0.25"/>
    <row r="1119" ht="13.2" x14ac:dyDescent="0.25"/>
    <row r="1120" ht="13.2" x14ac:dyDescent="0.25"/>
    <row r="1121" ht="13.2" x14ac:dyDescent="0.25"/>
    <row r="1122" ht="13.2" x14ac:dyDescent="0.25"/>
    <row r="1123" ht="13.2" x14ac:dyDescent="0.25"/>
    <row r="1124" ht="13.2" x14ac:dyDescent="0.25"/>
    <row r="1125" ht="13.2" x14ac:dyDescent="0.25"/>
    <row r="1126" ht="13.2" x14ac:dyDescent="0.25"/>
    <row r="1127" ht="13.2" x14ac:dyDescent="0.25"/>
    <row r="1128" ht="13.2" x14ac:dyDescent="0.25"/>
    <row r="1129" ht="13.2" x14ac:dyDescent="0.25"/>
    <row r="1130" ht="13.2" x14ac:dyDescent="0.25"/>
    <row r="1131" ht="13.2" x14ac:dyDescent="0.25"/>
    <row r="1132" ht="13.2" x14ac:dyDescent="0.25"/>
    <row r="1133" ht="13.2" x14ac:dyDescent="0.25"/>
    <row r="1134" ht="13.2" x14ac:dyDescent="0.25"/>
  </sheetData>
  <autoFilter ref="A1:D229" xr:uid="{00000000-0001-0000-0000-000000000000}">
    <sortState xmlns:xlrd2="http://schemas.microsoft.com/office/spreadsheetml/2017/richdata2" ref="A2:D229">
      <sortCondition ref="A1:A229"/>
    </sortState>
  </autoFilter>
  <phoneticPr fontId="16" type="noConversion"/>
  <hyperlinks>
    <hyperlink ref="D95" r:id="rId1" xr:uid="{00000000-0004-0000-0000-000014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162FC-7907-44C7-A909-E8E1323EC5F6}">
  <dimension ref="A1:F300"/>
  <sheetViews>
    <sheetView tabSelected="1" zoomScaleNormal="100" workbookViewId="0">
      <pane ySplit="1" topLeftCell="A214" activePane="bottomLeft" state="frozen"/>
      <selection pane="bottomLeft" activeCell="A239" sqref="A239"/>
    </sheetView>
  </sheetViews>
  <sheetFormatPr defaultColWidth="8.88671875" defaultRowHeight="13.8" x14ac:dyDescent="0.25"/>
  <cols>
    <col min="1" max="1" width="19.5546875" style="6" bestFit="1" customWidth="1"/>
    <col min="2" max="2" width="32.5546875" style="6" customWidth="1"/>
    <col min="3" max="3" width="11.109375" style="6" bestFit="1" customWidth="1"/>
    <col min="4" max="4" width="12.88671875" style="6" bestFit="1" customWidth="1"/>
    <col min="5" max="5" width="100.6640625" style="9" customWidth="1"/>
    <col min="6" max="6" width="97.33203125" style="6" bestFit="1" customWidth="1"/>
    <col min="7" max="16384" width="8.88671875" style="6"/>
  </cols>
  <sheetData>
    <row r="1" spans="1:6" x14ac:dyDescent="0.25">
      <c r="A1" s="7" t="s">
        <v>166</v>
      </c>
      <c r="B1" s="7" t="s">
        <v>167</v>
      </c>
      <c r="C1" s="7" t="s">
        <v>168</v>
      </c>
      <c r="D1" s="7" t="s">
        <v>169</v>
      </c>
      <c r="E1" s="8" t="s">
        <v>171</v>
      </c>
      <c r="F1" s="7" t="s">
        <v>170</v>
      </c>
    </row>
    <row r="2" spans="1:6" ht="39.6" x14ac:dyDescent="0.25">
      <c r="A2" s="7" t="s">
        <v>195</v>
      </c>
      <c r="B2" s="7" t="s">
        <v>153</v>
      </c>
      <c r="C2" s="7">
        <v>223</v>
      </c>
      <c r="D2" s="7" t="s">
        <v>189</v>
      </c>
      <c r="E2" s="8" t="s">
        <v>197</v>
      </c>
      <c r="F2" s="7"/>
    </row>
    <row r="3" spans="1:6" x14ac:dyDescent="0.25">
      <c r="A3" s="7" t="s">
        <v>195</v>
      </c>
      <c r="B3" s="7" t="s">
        <v>91</v>
      </c>
      <c r="C3" s="7">
        <v>9</v>
      </c>
      <c r="D3" s="7" t="s">
        <v>189</v>
      </c>
      <c r="E3" s="10"/>
      <c r="F3" s="7"/>
    </row>
    <row r="4" spans="1:6" x14ac:dyDescent="0.25">
      <c r="A4" s="7" t="s">
        <v>195</v>
      </c>
      <c r="B4" s="7" t="s">
        <v>80</v>
      </c>
      <c r="C4" s="7">
        <v>2</v>
      </c>
      <c r="D4" s="7" t="s">
        <v>189</v>
      </c>
      <c r="E4" s="10"/>
      <c r="F4" s="7"/>
    </row>
    <row r="5" spans="1:6" x14ac:dyDescent="0.25">
      <c r="A5" s="7" t="s">
        <v>195</v>
      </c>
      <c r="B5" s="7" t="s">
        <v>54</v>
      </c>
      <c r="C5" s="7">
        <v>1</v>
      </c>
      <c r="D5" s="7" t="s">
        <v>189</v>
      </c>
      <c r="E5" s="10"/>
      <c r="F5" s="7"/>
    </row>
    <row r="6" spans="1:6" ht="26.4" x14ac:dyDescent="0.25">
      <c r="A6" s="7" t="s">
        <v>125</v>
      </c>
      <c r="B6" s="7" t="s">
        <v>162</v>
      </c>
      <c r="C6" s="7">
        <v>159</v>
      </c>
      <c r="D6" s="7" t="s">
        <v>150</v>
      </c>
      <c r="E6" s="8" t="s">
        <v>172</v>
      </c>
      <c r="F6" s="7"/>
    </row>
    <row r="7" spans="1:6" x14ac:dyDescent="0.25">
      <c r="A7" s="7" t="s">
        <v>125</v>
      </c>
      <c r="B7" s="7" t="s">
        <v>141</v>
      </c>
      <c r="C7" s="7">
        <v>50</v>
      </c>
      <c r="D7" s="7" t="s">
        <v>150</v>
      </c>
      <c r="E7" s="10"/>
      <c r="F7" s="7"/>
    </row>
    <row r="8" spans="1:6" x14ac:dyDescent="0.25">
      <c r="A8" s="7" t="s">
        <v>125</v>
      </c>
      <c r="B8" s="7" t="s">
        <v>108</v>
      </c>
      <c r="C8" s="7">
        <v>21</v>
      </c>
      <c r="D8" s="7" t="s">
        <v>150</v>
      </c>
      <c r="E8" s="10"/>
      <c r="F8" s="7"/>
    </row>
    <row r="9" spans="1:6" ht="26.4" x14ac:dyDescent="0.25">
      <c r="A9" s="7" t="s">
        <v>125</v>
      </c>
      <c r="B9" s="7" t="s">
        <v>123</v>
      </c>
      <c r="C9" s="7">
        <v>1494</v>
      </c>
      <c r="D9" s="7" t="s">
        <v>165</v>
      </c>
      <c r="E9" s="8" t="s">
        <v>172</v>
      </c>
      <c r="F9" s="7"/>
    </row>
    <row r="10" spans="1:6" x14ac:dyDescent="0.25">
      <c r="A10" s="7" t="s">
        <v>125</v>
      </c>
      <c r="B10" s="7" t="s">
        <v>221</v>
      </c>
      <c r="C10" s="7">
        <v>1</v>
      </c>
      <c r="D10" s="7" t="s">
        <v>165</v>
      </c>
      <c r="E10" s="10"/>
      <c r="F10" s="7" t="s">
        <v>173</v>
      </c>
    </row>
    <row r="11" spans="1:6" ht="26.4" x14ac:dyDescent="0.25">
      <c r="A11" s="7" t="s">
        <v>125</v>
      </c>
      <c r="B11" s="7" t="s">
        <v>157</v>
      </c>
      <c r="C11" s="7">
        <v>863</v>
      </c>
      <c r="D11" s="7" t="s">
        <v>139</v>
      </c>
      <c r="E11" s="8" t="s">
        <v>174</v>
      </c>
      <c r="F11" s="7"/>
    </row>
    <row r="12" spans="1:6" x14ac:dyDescent="0.25">
      <c r="A12" s="7" t="s">
        <v>125</v>
      </c>
      <c r="B12" s="7" t="s">
        <v>151</v>
      </c>
      <c r="C12" s="7">
        <v>22</v>
      </c>
      <c r="D12" s="7" t="s">
        <v>139</v>
      </c>
      <c r="E12" s="10"/>
      <c r="F12" s="7"/>
    </row>
    <row r="13" spans="1:6" x14ac:dyDescent="0.25">
      <c r="A13" s="7" t="s">
        <v>125</v>
      </c>
      <c r="B13" s="7" t="s">
        <v>134</v>
      </c>
      <c r="C13" s="7">
        <v>16</v>
      </c>
      <c r="D13" s="7" t="s">
        <v>139</v>
      </c>
      <c r="E13" s="10"/>
      <c r="F13" s="7"/>
    </row>
    <row r="14" spans="1:6" x14ac:dyDescent="0.25">
      <c r="A14" s="7" t="s">
        <v>125</v>
      </c>
      <c r="B14" s="7" t="s">
        <v>142</v>
      </c>
      <c r="C14" s="7">
        <v>9</v>
      </c>
      <c r="D14" s="7" t="s">
        <v>139</v>
      </c>
      <c r="E14" s="10"/>
      <c r="F14" s="7"/>
    </row>
    <row r="15" spans="1:6" x14ac:dyDescent="0.25">
      <c r="A15" s="7" t="s">
        <v>125</v>
      </c>
      <c r="B15" s="7" t="s">
        <v>140</v>
      </c>
      <c r="C15" s="7">
        <v>5</v>
      </c>
      <c r="D15" s="7" t="s">
        <v>139</v>
      </c>
      <c r="E15" s="10"/>
      <c r="F15" s="7"/>
    </row>
    <row r="16" spans="1:6" ht="26.4" x14ac:dyDescent="0.25">
      <c r="A16" s="7" t="s">
        <v>125</v>
      </c>
      <c r="B16" s="7" t="s">
        <v>136</v>
      </c>
      <c r="C16" s="7">
        <v>212</v>
      </c>
      <c r="D16" s="7" t="s">
        <v>124</v>
      </c>
      <c r="E16" s="8" t="s">
        <v>172</v>
      </c>
      <c r="F16" s="7"/>
    </row>
    <row r="17" spans="1:6" x14ac:dyDescent="0.25">
      <c r="A17" s="7" t="s">
        <v>125</v>
      </c>
      <c r="B17" s="7" t="s">
        <v>159</v>
      </c>
      <c r="C17" s="7">
        <v>63</v>
      </c>
      <c r="D17" s="7" t="s">
        <v>124</v>
      </c>
      <c r="E17" s="10"/>
      <c r="F17" s="7"/>
    </row>
    <row r="18" spans="1:6" x14ac:dyDescent="0.25">
      <c r="A18" s="7" t="s">
        <v>125</v>
      </c>
      <c r="B18" s="7" t="s">
        <v>74</v>
      </c>
      <c r="C18" s="7">
        <v>1</v>
      </c>
      <c r="D18" s="7" t="s">
        <v>124</v>
      </c>
      <c r="E18" s="10"/>
      <c r="F18" s="7"/>
    </row>
    <row r="19" spans="1:6" x14ac:dyDescent="0.25">
      <c r="A19" s="7" t="s">
        <v>125</v>
      </c>
      <c r="B19" s="7" t="s">
        <v>50</v>
      </c>
      <c r="C19" s="7">
        <v>1</v>
      </c>
      <c r="D19" s="7" t="s">
        <v>124</v>
      </c>
      <c r="E19" s="10"/>
      <c r="F19" s="7"/>
    </row>
    <row r="20" spans="1:6" x14ac:dyDescent="0.25">
      <c r="A20" s="7" t="s">
        <v>125</v>
      </c>
      <c r="B20" s="7" t="s">
        <v>49</v>
      </c>
      <c r="C20" s="7">
        <v>1</v>
      </c>
      <c r="D20" s="7" t="s">
        <v>124</v>
      </c>
      <c r="E20" s="10"/>
      <c r="F20" s="7"/>
    </row>
    <row r="21" spans="1:6" ht="39.6" x14ac:dyDescent="0.25">
      <c r="A21" s="7" t="s">
        <v>116</v>
      </c>
      <c r="B21" s="7" t="s">
        <v>153</v>
      </c>
      <c r="C21" s="7">
        <v>161</v>
      </c>
      <c r="D21" s="7" t="s">
        <v>189</v>
      </c>
      <c r="E21" s="8" t="s">
        <v>253</v>
      </c>
      <c r="F21" s="7"/>
    </row>
    <row r="22" spans="1:6" x14ac:dyDescent="0.25">
      <c r="A22" s="7" t="s">
        <v>116</v>
      </c>
      <c r="B22" s="7" t="s">
        <v>131</v>
      </c>
      <c r="C22" s="7">
        <v>16</v>
      </c>
      <c r="D22" s="7" t="s">
        <v>189</v>
      </c>
      <c r="E22" s="10"/>
      <c r="F22" s="7"/>
    </row>
    <row r="23" spans="1:6" x14ac:dyDescent="0.25">
      <c r="A23" s="7" t="s">
        <v>116</v>
      </c>
      <c r="B23" s="7" t="s">
        <v>74</v>
      </c>
      <c r="C23" s="7">
        <v>8</v>
      </c>
      <c r="D23" s="7" t="s">
        <v>189</v>
      </c>
      <c r="E23" s="10"/>
      <c r="F23" s="7"/>
    </row>
    <row r="24" spans="1:6" x14ac:dyDescent="0.25">
      <c r="A24" s="7" t="s">
        <v>116</v>
      </c>
      <c r="B24" s="7" t="s">
        <v>65</v>
      </c>
      <c r="C24" s="7">
        <v>6</v>
      </c>
      <c r="D24" s="7" t="s">
        <v>189</v>
      </c>
      <c r="E24" s="10"/>
      <c r="F24" s="7"/>
    </row>
    <row r="25" spans="1:6" x14ac:dyDescent="0.25">
      <c r="A25" s="7" t="s">
        <v>116</v>
      </c>
      <c r="B25" s="7" t="s">
        <v>50</v>
      </c>
      <c r="C25" s="7">
        <v>5</v>
      </c>
      <c r="D25" s="7" t="s">
        <v>189</v>
      </c>
      <c r="E25" s="10"/>
      <c r="F25" s="7"/>
    </row>
    <row r="26" spans="1:6" x14ac:dyDescent="0.25">
      <c r="A26" s="7" t="s">
        <v>116</v>
      </c>
      <c r="B26" s="7" t="s">
        <v>108</v>
      </c>
      <c r="C26" s="7">
        <v>5</v>
      </c>
      <c r="D26" s="7" t="s">
        <v>189</v>
      </c>
      <c r="E26" s="10"/>
      <c r="F26" s="7"/>
    </row>
    <row r="27" spans="1:6" x14ac:dyDescent="0.25">
      <c r="A27" s="7" t="s">
        <v>116</v>
      </c>
      <c r="B27" s="7" t="s">
        <v>137</v>
      </c>
      <c r="C27" s="7">
        <v>4</v>
      </c>
      <c r="D27" s="7" t="s">
        <v>189</v>
      </c>
      <c r="E27" s="10"/>
      <c r="F27" s="7"/>
    </row>
    <row r="28" spans="1:6" x14ac:dyDescent="0.25">
      <c r="A28" s="7" t="s">
        <v>116</v>
      </c>
      <c r="B28" s="7" t="s">
        <v>62</v>
      </c>
      <c r="C28" s="7">
        <v>2</v>
      </c>
      <c r="D28" s="7" t="s">
        <v>189</v>
      </c>
      <c r="E28" s="10"/>
      <c r="F28" s="7"/>
    </row>
    <row r="29" spans="1:6" x14ac:dyDescent="0.25">
      <c r="A29" s="7" t="s">
        <v>116</v>
      </c>
      <c r="B29" s="7" t="s">
        <v>71</v>
      </c>
      <c r="C29" s="7">
        <v>2</v>
      </c>
      <c r="D29" s="7" t="s">
        <v>189</v>
      </c>
      <c r="E29" s="10"/>
      <c r="F29" s="7"/>
    </row>
    <row r="30" spans="1:6" x14ac:dyDescent="0.25">
      <c r="A30" s="7" t="s">
        <v>116</v>
      </c>
      <c r="B30" s="7" t="s">
        <v>91</v>
      </c>
      <c r="C30" s="7">
        <v>2</v>
      </c>
      <c r="D30" s="7" t="s">
        <v>189</v>
      </c>
      <c r="E30" s="10"/>
      <c r="F30" s="7"/>
    </row>
    <row r="31" spans="1:6" x14ac:dyDescent="0.25">
      <c r="A31" s="7" t="s">
        <v>116</v>
      </c>
      <c r="B31" s="7" t="s">
        <v>123</v>
      </c>
      <c r="C31" s="7">
        <v>1</v>
      </c>
      <c r="D31" s="7" t="s">
        <v>189</v>
      </c>
      <c r="E31" s="10"/>
      <c r="F31" s="7"/>
    </row>
    <row r="32" spans="1:6" x14ac:dyDescent="0.25">
      <c r="A32" s="7" t="s">
        <v>116</v>
      </c>
      <c r="B32" s="7" t="s">
        <v>68</v>
      </c>
      <c r="C32" s="7">
        <v>1</v>
      </c>
      <c r="D32" s="7" t="s">
        <v>189</v>
      </c>
      <c r="E32" s="10"/>
      <c r="F32" s="7"/>
    </row>
    <row r="33" spans="1:6" x14ac:dyDescent="0.25">
      <c r="A33" s="7" t="s">
        <v>116</v>
      </c>
      <c r="B33" s="7" t="s">
        <v>67</v>
      </c>
      <c r="C33" s="7">
        <v>1</v>
      </c>
      <c r="D33" s="7" t="s">
        <v>189</v>
      </c>
      <c r="E33" s="10"/>
      <c r="F33" s="7"/>
    </row>
    <row r="34" spans="1:6" x14ac:dyDescent="0.25">
      <c r="A34" s="7" t="s">
        <v>116</v>
      </c>
      <c r="B34" s="7" t="s">
        <v>122</v>
      </c>
      <c r="C34" s="7">
        <v>1</v>
      </c>
      <c r="D34" s="7" t="s">
        <v>189</v>
      </c>
      <c r="E34" s="10"/>
      <c r="F34" s="7"/>
    </row>
    <row r="35" spans="1:6" x14ac:dyDescent="0.25">
      <c r="A35" s="7" t="s">
        <v>116</v>
      </c>
      <c r="B35" s="7" t="s">
        <v>121</v>
      </c>
      <c r="C35" s="7">
        <v>1</v>
      </c>
      <c r="D35" s="7" t="s">
        <v>189</v>
      </c>
      <c r="E35" s="10"/>
      <c r="F35" s="7"/>
    </row>
    <row r="36" spans="1:6" x14ac:dyDescent="0.25">
      <c r="A36" s="7" t="s">
        <v>116</v>
      </c>
      <c r="B36" s="7" t="s">
        <v>63</v>
      </c>
      <c r="C36" s="7">
        <v>1</v>
      </c>
      <c r="D36" s="7" t="s">
        <v>189</v>
      </c>
      <c r="E36" s="10"/>
      <c r="F36" s="7"/>
    </row>
    <row r="37" spans="1:6" x14ac:dyDescent="0.25">
      <c r="A37" s="7" t="s">
        <v>116</v>
      </c>
      <c r="B37" s="7" t="s">
        <v>86</v>
      </c>
      <c r="C37" s="7">
        <v>1</v>
      </c>
      <c r="D37" s="7" t="s">
        <v>189</v>
      </c>
      <c r="E37" s="10"/>
      <c r="F37" s="7"/>
    </row>
    <row r="38" spans="1:6" x14ac:dyDescent="0.25">
      <c r="A38" s="7" t="s">
        <v>116</v>
      </c>
      <c r="B38" s="7" t="s">
        <v>120</v>
      </c>
      <c r="C38" s="7">
        <v>1</v>
      </c>
      <c r="D38" s="7" t="s">
        <v>189</v>
      </c>
      <c r="E38" s="10"/>
      <c r="F38" s="7"/>
    </row>
    <row r="39" spans="1:6" x14ac:dyDescent="0.25">
      <c r="A39" s="7" t="s">
        <v>116</v>
      </c>
      <c r="B39" s="7" t="s">
        <v>84</v>
      </c>
      <c r="C39" s="7">
        <v>1</v>
      </c>
      <c r="D39" s="7" t="s">
        <v>189</v>
      </c>
      <c r="E39" s="10"/>
      <c r="F39" s="7"/>
    </row>
    <row r="40" spans="1:6" x14ac:dyDescent="0.25">
      <c r="A40" s="7" t="s">
        <v>116</v>
      </c>
      <c r="B40" s="7" t="s">
        <v>119</v>
      </c>
      <c r="C40" s="7">
        <v>1</v>
      </c>
      <c r="D40" s="7" t="s">
        <v>189</v>
      </c>
      <c r="E40" s="10"/>
      <c r="F40" s="7"/>
    </row>
    <row r="41" spans="1:6" x14ac:dyDescent="0.25">
      <c r="A41" s="7" t="s">
        <v>116</v>
      </c>
      <c r="B41" s="7" t="s">
        <v>118</v>
      </c>
      <c r="C41" s="7">
        <v>1</v>
      </c>
      <c r="D41" s="7" t="s">
        <v>189</v>
      </c>
      <c r="E41" s="10"/>
      <c r="F41" s="7"/>
    </row>
    <row r="42" spans="1:6" x14ac:dyDescent="0.25">
      <c r="A42" s="7" t="s">
        <v>116</v>
      </c>
      <c r="B42" s="7" t="s">
        <v>117</v>
      </c>
      <c r="C42" s="7">
        <v>1</v>
      </c>
      <c r="D42" s="7" t="s">
        <v>189</v>
      </c>
      <c r="E42" s="10"/>
      <c r="F42" s="7"/>
    </row>
    <row r="43" spans="1:6" x14ac:dyDescent="0.25">
      <c r="A43" s="7" t="s">
        <v>116</v>
      </c>
      <c r="B43" s="7" t="s">
        <v>81</v>
      </c>
      <c r="C43" s="7">
        <v>1</v>
      </c>
      <c r="D43" s="7" t="s">
        <v>189</v>
      </c>
      <c r="E43" s="10"/>
      <c r="F43" s="7"/>
    </row>
    <row r="44" spans="1:6" x14ac:dyDescent="0.25">
      <c r="A44" s="7" t="s">
        <v>116</v>
      </c>
      <c r="B44" s="7" t="s">
        <v>54</v>
      </c>
      <c r="C44" s="7">
        <v>1</v>
      </c>
      <c r="D44" s="7" t="s">
        <v>189</v>
      </c>
      <c r="E44" s="10"/>
      <c r="F44" s="7"/>
    </row>
    <row r="45" spans="1:6" x14ac:dyDescent="0.25">
      <c r="A45" s="7" t="s">
        <v>116</v>
      </c>
      <c r="B45" s="7" t="s">
        <v>89</v>
      </c>
      <c r="C45" s="7">
        <v>1</v>
      </c>
      <c r="D45" s="7" t="s">
        <v>189</v>
      </c>
      <c r="E45" s="10"/>
      <c r="F45" s="7"/>
    </row>
    <row r="46" spans="1:6" x14ac:dyDescent="0.25">
      <c r="A46" s="7" t="s">
        <v>116</v>
      </c>
      <c r="B46" s="7" t="s">
        <v>51</v>
      </c>
      <c r="C46" s="7">
        <v>1</v>
      </c>
      <c r="D46" s="7" t="s">
        <v>189</v>
      </c>
      <c r="E46" s="10"/>
      <c r="F46" s="7"/>
    </row>
    <row r="47" spans="1:6" ht="39.6" x14ac:dyDescent="0.25">
      <c r="A47" s="7" t="s">
        <v>115</v>
      </c>
      <c r="B47" s="7" t="s">
        <v>50</v>
      </c>
      <c r="C47" s="7">
        <v>259</v>
      </c>
      <c r="D47" s="7" t="s">
        <v>188</v>
      </c>
      <c r="E47" s="8" t="s">
        <v>193</v>
      </c>
      <c r="F47" s="7"/>
    </row>
    <row r="48" spans="1:6" x14ac:dyDescent="0.25">
      <c r="A48" s="7" t="s">
        <v>115</v>
      </c>
      <c r="B48" s="7" t="s">
        <v>65</v>
      </c>
      <c r="C48" s="7">
        <v>60</v>
      </c>
      <c r="D48" s="7" t="s">
        <v>188</v>
      </c>
      <c r="E48" s="10"/>
      <c r="F48" s="7"/>
    </row>
    <row r="49" spans="1:6" x14ac:dyDescent="0.25">
      <c r="A49" s="7" t="s">
        <v>115</v>
      </c>
      <c r="B49" s="7" t="s">
        <v>74</v>
      </c>
      <c r="C49" s="7">
        <v>34</v>
      </c>
      <c r="D49" s="7" t="s">
        <v>188</v>
      </c>
      <c r="E49" s="10"/>
      <c r="F49" s="7"/>
    </row>
    <row r="50" spans="1:6" x14ac:dyDescent="0.25">
      <c r="A50" s="7" t="s">
        <v>115</v>
      </c>
      <c r="B50" s="7" t="s">
        <v>137</v>
      </c>
      <c r="C50" s="7">
        <v>28</v>
      </c>
      <c r="D50" s="7" t="s">
        <v>188</v>
      </c>
      <c r="E50" s="10"/>
      <c r="F50" s="7"/>
    </row>
    <row r="51" spans="1:6" x14ac:dyDescent="0.25">
      <c r="A51" s="7" t="s">
        <v>115</v>
      </c>
      <c r="B51" s="7" t="s">
        <v>62</v>
      </c>
      <c r="C51" s="7">
        <v>22</v>
      </c>
      <c r="D51" s="7" t="s">
        <v>188</v>
      </c>
      <c r="E51" s="10"/>
      <c r="F51" s="7"/>
    </row>
    <row r="52" spans="1:6" x14ac:dyDescent="0.25">
      <c r="A52" s="7" t="s">
        <v>115</v>
      </c>
      <c r="B52" s="7" t="s">
        <v>131</v>
      </c>
      <c r="C52" s="7">
        <v>19</v>
      </c>
      <c r="D52" s="7" t="s">
        <v>188</v>
      </c>
      <c r="E52" s="10"/>
      <c r="F52" s="7"/>
    </row>
    <row r="53" spans="1:6" x14ac:dyDescent="0.25">
      <c r="A53" s="7" t="s">
        <v>115</v>
      </c>
      <c r="B53" s="7" t="s">
        <v>71</v>
      </c>
      <c r="C53" s="7">
        <v>16</v>
      </c>
      <c r="D53" s="7" t="s">
        <v>188</v>
      </c>
      <c r="E53" s="10"/>
      <c r="F53" s="7"/>
    </row>
    <row r="54" spans="1:6" x14ac:dyDescent="0.25">
      <c r="A54" s="7" t="s">
        <v>115</v>
      </c>
      <c r="B54" s="7" t="s">
        <v>72</v>
      </c>
      <c r="C54" s="7">
        <v>9</v>
      </c>
      <c r="D54" s="7" t="s">
        <v>188</v>
      </c>
      <c r="E54" s="10"/>
      <c r="F54" s="7"/>
    </row>
    <row r="55" spans="1:6" x14ac:dyDescent="0.25">
      <c r="A55" s="7" t="s">
        <v>115</v>
      </c>
      <c r="B55" s="7" t="s">
        <v>68</v>
      </c>
      <c r="C55" s="7">
        <v>4</v>
      </c>
      <c r="D55" s="7" t="s">
        <v>188</v>
      </c>
      <c r="E55" s="10"/>
      <c r="F55" s="7"/>
    </row>
    <row r="56" spans="1:6" x14ac:dyDescent="0.25">
      <c r="A56" s="7" t="s">
        <v>115</v>
      </c>
      <c r="B56" s="7" t="s">
        <v>51</v>
      </c>
      <c r="C56" s="7">
        <v>3</v>
      </c>
      <c r="D56" s="7" t="s">
        <v>188</v>
      </c>
      <c r="E56" s="10"/>
      <c r="F56" s="7"/>
    </row>
    <row r="57" spans="1:6" x14ac:dyDescent="0.25">
      <c r="A57" s="7" t="s">
        <v>115</v>
      </c>
      <c r="B57" s="7" t="s">
        <v>122</v>
      </c>
      <c r="C57" s="7">
        <v>2</v>
      </c>
      <c r="D57" s="7" t="s">
        <v>188</v>
      </c>
      <c r="E57" s="10"/>
      <c r="F57" s="7"/>
    </row>
    <row r="58" spans="1:6" x14ac:dyDescent="0.25">
      <c r="A58" s="7" t="s">
        <v>115</v>
      </c>
      <c r="B58" s="7" t="s">
        <v>130</v>
      </c>
      <c r="C58" s="7">
        <v>2</v>
      </c>
      <c r="D58" s="7" t="s">
        <v>188</v>
      </c>
      <c r="E58" s="10"/>
      <c r="F58" s="7"/>
    </row>
    <row r="59" spans="1:6" x14ac:dyDescent="0.25">
      <c r="A59" s="7" t="s">
        <v>115</v>
      </c>
      <c r="B59" s="7" t="s">
        <v>118</v>
      </c>
      <c r="C59" s="7">
        <v>2</v>
      </c>
      <c r="D59" s="7" t="s">
        <v>188</v>
      </c>
      <c r="E59" s="10"/>
      <c r="F59" s="7"/>
    </row>
    <row r="60" spans="1:6" x14ac:dyDescent="0.25">
      <c r="A60" s="7" t="s">
        <v>115</v>
      </c>
      <c r="B60" s="7" t="s">
        <v>117</v>
      </c>
      <c r="C60" s="7">
        <v>2</v>
      </c>
      <c r="D60" s="7" t="s">
        <v>188</v>
      </c>
      <c r="E60" s="10"/>
      <c r="F60" s="7"/>
    </row>
    <row r="61" spans="1:6" x14ac:dyDescent="0.25">
      <c r="A61" s="7" t="s">
        <v>115</v>
      </c>
      <c r="B61" s="7" t="s">
        <v>70</v>
      </c>
      <c r="C61" s="7">
        <v>1</v>
      </c>
      <c r="D61" s="7" t="s">
        <v>188</v>
      </c>
      <c r="E61" s="10"/>
      <c r="F61" s="7"/>
    </row>
    <row r="62" spans="1:6" x14ac:dyDescent="0.25">
      <c r="A62" s="7" t="s">
        <v>115</v>
      </c>
      <c r="B62" s="7" t="s">
        <v>67</v>
      </c>
      <c r="C62" s="7">
        <v>1</v>
      </c>
      <c r="D62" s="7" t="s">
        <v>188</v>
      </c>
      <c r="E62" s="10"/>
      <c r="F62" s="7"/>
    </row>
    <row r="63" spans="1:6" x14ac:dyDescent="0.25">
      <c r="A63" s="7" t="s">
        <v>115</v>
      </c>
      <c r="B63" s="7" t="s">
        <v>86</v>
      </c>
      <c r="C63" s="7">
        <v>1</v>
      </c>
      <c r="D63" s="7" t="s">
        <v>188</v>
      </c>
      <c r="E63" s="10"/>
      <c r="F63" s="7"/>
    </row>
    <row r="64" spans="1:6" x14ac:dyDescent="0.25">
      <c r="A64" s="7" t="s">
        <v>115</v>
      </c>
      <c r="B64" s="7" t="s">
        <v>61</v>
      </c>
      <c r="C64" s="7">
        <v>1</v>
      </c>
      <c r="D64" s="7" t="s">
        <v>188</v>
      </c>
      <c r="E64" s="10"/>
      <c r="F64" s="7"/>
    </row>
    <row r="65" spans="1:6" x14ac:dyDescent="0.25">
      <c r="A65" s="7" t="s">
        <v>115</v>
      </c>
      <c r="B65" s="7" t="s">
        <v>84</v>
      </c>
      <c r="C65" s="7">
        <v>1</v>
      </c>
      <c r="D65" s="7" t="s">
        <v>188</v>
      </c>
      <c r="E65" s="10"/>
      <c r="F65" s="7"/>
    </row>
    <row r="66" spans="1:6" x14ac:dyDescent="0.25">
      <c r="A66" s="7" t="s">
        <v>115</v>
      </c>
      <c r="B66" s="7" t="s">
        <v>83</v>
      </c>
      <c r="C66" s="7">
        <v>1</v>
      </c>
      <c r="D66" s="7" t="s">
        <v>188</v>
      </c>
      <c r="E66" s="10"/>
      <c r="F66" s="7"/>
    </row>
    <row r="67" spans="1:6" x14ac:dyDescent="0.25">
      <c r="A67" s="7" t="s">
        <v>115</v>
      </c>
      <c r="B67" s="7" t="s">
        <v>82</v>
      </c>
      <c r="C67" s="7">
        <v>1</v>
      </c>
      <c r="D67" s="7" t="s">
        <v>188</v>
      </c>
      <c r="E67" s="10"/>
      <c r="F67" s="7"/>
    </row>
    <row r="68" spans="1:6" x14ac:dyDescent="0.25">
      <c r="A68" s="7" t="s">
        <v>115</v>
      </c>
      <c r="B68" s="7" t="s">
        <v>81</v>
      </c>
      <c r="C68" s="7">
        <v>1</v>
      </c>
      <c r="D68" s="7" t="s">
        <v>188</v>
      </c>
      <c r="E68" s="10"/>
      <c r="F68" s="7"/>
    </row>
    <row r="69" spans="1:6" x14ac:dyDescent="0.25">
      <c r="A69" s="7" t="s">
        <v>115</v>
      </c>
      <c r="B69" s="7" t="s">
        <v>49</v>
      </c>
      <c r="C69" s="7">
        <v>1</v>
      </c>
      <c r="D69" s="7" t="s">
        <v>188</v>
      </c>
      <c r="E69" s="10"/>
      <c r="F69" s="7"/>
    </row>
    <row r="70" spans="1:6" ht="52.8" x14ac:dyDescent="0.25">
      <c r="A70" s="7" t="s">
        <v>114</v>
      </c>
      <c r="B70" s="7" t="s">
        <v>153</v>
      </c>
      <c r="C70" s="7">
        <v>239</v>
      </c>
      <c r="D70" s="7" t="s">
        <v>189</v>
      </c>
      <c r="E70" s="8" t="s">
        <v>205</v>
      </c>
      <c r="F70" s="7"/>
    </row>
    <row r="71" spans="1:6" x14ac:dyDescent="0.25">
      <c r="A71" s="7" t="s">
        <v>114</v>
      </c>
      <c r="B71" s="7" t="s">
        <v>127</v>
      </c>
      <c r="C71" s="7">
        <v>4</v>
      </c>
      <c r="D71" s="7" t="s">
        <v>189</v>
      </c>
      <c r="E71" s="10"/>
      <c r="F71" s="7"/>
    </row>
    <row r="72" spans="1:6" x14ac:dyDescent="0.25">
      <c r="A72" s="7" t="s">
        <v>114</v>
      </c>
      <c r="B72" s="7" t="s">
        <v>54</v>
      </c>
      <c r="C72" s="7">
        <v>4</v>
      </c>
      <c r="D72" s="7" t="s">
        <v>189</v>
      </c>
      <c r="E72" s="10"/>
      <c r="F72" s="7"/>
    </row>
    <row r="73" spans="1:6" x14ac:dyDescent="0.25">
      <c r="A73" s="7" t="s">
        <v>114</v>
      </c>
      <c r="B73" s="7" t="s">
        <v>129</v>
      </c>
      <c r="C73" s="7">
        <v>2</v>
      </c>
      <c r="D73" s="7" t="s">
        <v>189</v>
      </c>
      <c r="E73" s="10"/>
      <c r="F73" s="7"/>
    </row>
    <row r="74" spans="1:6" x14ac:dyDescent="0.25">
      <c r="A74" s="7" t="s">
        <v>114</v>
      </c>
      <c r="B74" s="7" t="s">
        <v>78</v>
      </c>
      <c r="C74" s="7">
        <v>1</v>
      </c>
      <c r="D74" s="7" t="s">
        <v>189</v>
      </c>
      <c r="E74" s="10"/>
      <c r="F74" s="7"/>
    </row>
    <row r="75" spans="1:6" x14ac:dyDescent="0.25">
      <c r="A75" s="7" t="s">
        <v>114</v>
      </c>
      <c r="B75" s="7" t="s">
        <v>87</v>
      </c>
      <c r="C75" s="7">
        <v>1</v>
      </c>
      <c r="D75" s="7" t="s">
        <v>189</v>
      </c>
      <c r="E75" s="10"/>
      <c r="F75" s="7"/>
    </row>
    <row r="76" spans="1:6" x14ac:dyDescent="0.25">
      <c r="A76" s="7" t="s">
        <v>114</v>
      </c>
      <c r="B76" s="7" t="s">
        <v>109</v>
      </c>
      <c r="C76" s="7">
        <v>1</v>
      </c>
      <c r="D76" s="7" t="s">
        <v>189</v>
      </c>
      <c r="E76" s="10"/>
      <c r="F76" s="7"/>
    </row>
    <row r="77" spans="1:6" x14ac:dyDescent="0.25">
      <c r="A77" s="7" t="s">
        <v>114</v>
      </c>
      <c r="B77" s="7" t="s">
        <v>111</v>
      </c>
      <c r="C77" s="7">
        <v>1</v>
      </c>
      <c r="D77" s="7" t="s">
        <v>189</v>
      </c>
      <c r="E77" s="10"/>
      <c r="F77" s="7"/>
    </row>
    <row r="78" spans="1:6" ht="79.2" x14ac:dyDescent="0.25">
      <c r="A78" s="7" t="s">
        <v>110</v>
      </c>
      <c r="B78" s="7" t="s">
        <v>153</v>
      </c>
      <c r="C78" s="7">
        <v>214</v>
      </c>
      <c r="D78" s="7" t="s">
        <v>176</v>
      </c>
      <c r="E78" s="8" t="s">
        <v>246</v>
      </c>
      <c r="F78" s="7"/>
    </row>
    <row r="79" spans="1:6" x14ac:dyDescent="0.25">
      <c r="A79" s="7" t="s">
        <v>110</v>
      </c>
      <c r="B79" s="7" t="s">
        <v>80</v>
      </c>
      <c r="C79" s="7">
        <v>11</v>
      </c>
      <c r="D79" s="7" t="s">
        <v>176</v>
      </c>
      <c r="E79" s="10"/>
      <c r="F79" s="7"/>
    </row>
    <row r="80" spans="1:6" x14ac:dyDescent="0.25">
      <c r="A80" s="7" t="s">
        <v>110</v>
      </c>
      <c r="B80" s="7" t="s">
        <v>129</v>
      </c>
      <c r="C80" s="7">
        <v>8</v>
      </c>
      <c r="D80" s="7" t="s">
        <v>176</v>
      </c>
      <c r="E80" s="10"/>
      <c r="F80" s="7"/>
    </row>
    <row r="81" spans="1:6" x14ac:dyDescent="0.25">
      <c r="A81" s="7" t="s">
        <v>110</v>
      </c>
      <c r="B81" s="7" t="s">
        <v>127</v>
      </c>
      <c r="C81" s="7">
        <v>3</v>
      </c>
      <c r="D81" s="7" t="s">
        <v>176</v>
      </c>
      <c r="E81" s="10"/>
      <c r="F81" s="7"/>
    </row>
    <row r="82" spans="1:6" x14ac:dyDescent="0.25">
      <c r="A82" s="7" t="s">
        <v>110</v>
      </c>
      <c r="B82" s="7" t="s">
        <v>91</v>
      </c>
      <c r="C82" s="7">
        <v>2</v>
      </c>
      <c r="D82" s="7" t="s">
        <v>176</v>
      </c>
      <c r="E82" s="10"/>
      <c r="F82" s="7"/>
    </row>
    <row r="83" spans="1:6" x14ac:dyDescent="0.25">
      <c r="A83" s="7" t="s">
        <v>110</v>
      </c>
      <c r="B83" s="7" t="s">
        <v>54</v>
      </c>
      <c r="C83" s="7">
        <v>2</v>
      </c>
      <c r="D83" s="7" t="s">
        <v>176</v>
      </c>
      <c r="E83" s="10"/>
      <c r="F83" s="7"/>
    </row>
    <row r="84" spans="1:6" x14ac:dyDescent="0.25">
      <c r="A84" s="7" t="s">
        <v>110</v>
      </c>
      <c r="B84" s="7" t="s">
        <v>128</v>
      </c>
      <c r="C84" s="7">
        <v>2</v>
      </c>
      <c r="D84" s="7" t="s">
        <v>176</v>
      </c>
      <c r="E84" s="10"/>
      <c r="F84" s="7"/>
    </row>
    <row r="85" spans="1:6" x14ac:dyDescent="0.25">
      <c r="A85" s="7" t="s">
        <v>110</v>
      </c>
      <c r="B85" s="7" t="s">
        <v>78</v>
      </c>
      <c r="C85" s="7">
        <v>1</v>
      </c>
      <c r="D85" s="7" t="s">
        <v>176</v>
      </c>
      <c r="E85" s="10"/>
      <c r="F85" s="7"/>
    </row>
    <row r="86" spans="1:6" x14ac:dyDescent="0.25">
      <c r="A86" s="7" t="s">
        <v>110</v>
      </c>
      <c r="B86" s="7" t="s">
        <v>103</v>
      </c>
      <c r="C86" s="7">
        <v>1</v>
      </c>
      <c r="D86" s="7" t="s">
        <v>176</v>
      </c>
      <c r="E86" s="10"/>
      <c r="F86" s="7"/>
    </row>
    <row r="87" spans="1:6" x14ac:dyDescent="0.25">
      <c r="A87" s="7" t="s">
        <v>110</v>
      </c>
      <c r="B87" s="7" t="s">
        <v>87</v>
      </c>
      <c r="C87" s="7">
        <v>1</v>
      </c>
      <c r="D87" s="7" t="s">
        <v>176</v>
      </c>
      <c r="E87" s="10"/>
      <c r="F87" s="7"/>
    </row>
    <row r="88" spans="1:6" x14ac:dyDescent="0.25">
      <c r="A88" s="7" t="s">
        <v>110</v>
      </c>
      <c r="B88" s="7" t="s">
        <v>85</v>
      </c>
      <c r="C88" s="7">
        <v>1</v>
      </c>
      <c r="D88" s="7" t="s">
        <v>176</v>
      </c>
      <c r="E88" s="10"/>
      <c r="F88" s="7"/>
    </row>
    <row r="89" spans="1:6" x14ac:dyDescent="0.25">
      <c r="A89" s="7" t="s">
        <v>110</v>
      </c>
      <c r="B89" s="7" t="s">
        <v>113</v>
      </c>
      <c r="C89" s="7">
        <v>1</v>
      </c>
      <c r="D89" s="7" t="s">
        <v>176</v>
      </c>
      <c r="E89" s="10"/>
      <c r="F89" s="7"/>
    </row>
    <row r="90" spans="1:6" x14ac:dyDescent="0.25">
      <c r="A90" s="7" t="s">
        <v>110</v>
      </c>
      <c r="B90" s="7" t="s">
        <v>112</v>
      </c>
      <c r="C90" s="7">
        <v>1</v>
      </c>
      <c r="D90" s="7" t="s">
        <v>176</v>
      </c>
      <c r="E90" s="10"/>
      <c r="F90" s="7"/>
    </row>
    <row r="91" spans="1:6" x14ac:dyDescent="0.25">
      <c r="A91" s="7" t="s">
        <v>110</v>
      </c>
      <c r="B91" s="7" t="s">
        <v>111</v>
      </c>
      <c r="C91" s="7">
        <v>1</v>
      </c>
      <c r="D91" s="7" t="s">
        <v>176</v>
      </c>
      <c r="E91" s="10"/>
      <c r="F91" s="7"/>
    </row>
    <row r="92" spans="1:6" x14ac:dyDescent="0.25">
      <c r="A92" s="7" t="s">
        <v>110</v>
      </c>
      <c r="B92" s="7" t="s">
        <v>81</v>
      </c>
      <c r="C92" s="7">
        <v>1</v>
      </c>
      <c r="D92" s="7" t="s">
        <v>176</v>
      </c>
      <c r="E92" s="10"/>
      <c r="F92" s="7"/>
    </row>
    <row r="93" spans="1:6" x14ac:dyDescent="0.25">
      <c r="A93" s="7" t="s">
        <v>110</v>
      </c>
      <c r="B93" s="7" t="s">
        <v>49</v>
      </c>
      <c r="C93" s="7">
        <v>1</v>
      </c>
      <c r="D93" s="7" t="s">
        <v>176</v>
      </c>
      <c r="E93" s="10"/>
      <c r="F93" s="7"/>
    </row>
    <row r="94" spans="1:6" ht="39.6" x14ac:dyDescent="0.25">
      <c r="A94" s="7" t="s">
        <v>31</v>
      </c>
      <c r="B94" s="7" t="s">
        <v>135</v>
      </c>
      <c r="C94" s="7">
        <v>150</v>
      </c>
      <c r="D94" s="7" t="s">
        <v>228</v>
      </c>
      <c r="E94" s="8" t="s">
        <v>227</v>
      </c>
      <c r="F94" s="7"/>
    </row>
    <row r="95" spans="1:6" x14ac:dyDescent="0.25">
      <c r="A95" s="7" t="s">
        <v>31</v>
      </c>
      <c r="B95" s="7" t="s">
        <v>153</v>
      </c>
      <c r="C95" s="7">
        <v>29</v>
      </c>
      <c r="D95" s="7" t="s">
        <v>228</v>
      </c>
      <c r="E95" s="10"/>
      <c r="F95" s="7"/>
    </row>
    <row r="96" spans="1:6" x14ac:dyDescent="0.25">
      <c r="A96" s="7" t="s">
        <v>31</v>
      </c>
      <c r="B96" s="7" t="s">
        <v>91</v>
      </c>
      <c r="C96" s="7">
        <v>5</v>
      </c>
      <c r="D96" s="7" t="s">
        <v>228</v>
      </c>
      <c r="E96" s="10"/>
      <c r="F96" s="7"/>
    </row>
    <row r="97" spans="1:6" x14ac:dyDescent="0.25">
      <c r="A97" s="7" t="s">
        <v>31</v>
      </c>
      <c r="B97" s="7" t="s">
        <v>80</v>
      </c>
      <c r="C97" s="7">
        <v>2</v>
      </c>
      <c r="D97" s="7" t="s">
        <v>228</v>
      </c>
      <c r="E97" s="10"/>
      <c r="F97" s="7"/>
    </row>
    <row r="98" spans="1:6" x14ac:dyDescent="0.25">
      <c r="A98" s="7" t="s">
        <v>31</v>
      </c>
      <c r="B98" s="7" t="s">
        <v>65</v>
      </c>
      <c r="C98" s="7">
        <v>1</v>
      </c>
      <c r="D98" s="7" t="s">
        <v>228</v>
      </c>
      <c r="E98" s="10"/>
      <c r="F98" s="7"/>
    </row>
    <row r="99" spans="1:6" x14ac:dyDescent="0.25">
      <c r="A99" s="7" t="s">
        <v>31</v>
      </c>
      <c r="B99" s="7" t="s">
        <v>109</v>
      </c>
      <c r="C99" s="7">
        <v>1</v>
      </c>
      <c r="D99" s="7" t="s">
        <v>228</v>
      </c>
      <c r="E99" s="10"/>
      <c r="F99" s="7"/>
    </row>
    <row r="100" spans="1:6" x14ac:dyDescent="0.25">
      <c r="A100" s="7" t="s">
        <v>31</v>
      </c>
      <c r="B100" s="7" t="s">
        <v>74</v>
      </c>
      <c r="C100" s="7">
        <v>1</v>
      </c>
      <c r="D100" s="7" t="s">
        <v>228</v>
      </c>
      <c r="E100" s="10"/>
      <c r="F100" s="7"/>
    </row>
    <row r="101" spans="1:6" x14ac:dyDescent="0.25">
      <c r="A101" s="7" t="s">
        <v>31</v>
      </c>
      <c r="B101" s="7" t="s">
        <v>49</v>
      </c>
      <c r="C101" s="7">
        <v>1</v>
      </c>
      <c r="D101" s="7" t="s">
        <v>228</v>
      </c>
      <c r="E101" s="10"/>
      <c r="F101" s="7"/>
    </row>
    <row r="102" spans="1:6" x14ac:dyDescent="0.25">
      <c r="A102" s="7" t="s">
        <v>31</v>
      </c>
      <c r="B102" s="7" t="s">
        <v>108</v>
      </c>
      <c r="C102" s="7">
        <v>1</v>
      </c>
      <c r="D102" s="7" t="s">
        <v>228</v>
      </c>
      <c r="E102" s="10"/>
      <c r="F102" s="7"/>
    </row>
    <row r="103" spans="1:6" ht="66" x14ac:dyDescent="0.25">
      <c r="A103" s="7" t="s">
        <v>33</v>
      </c>
      <c r="B103" s="7" t="s">
        <v>129</v>
      </c>
      <c r="C103" s="7">
        <v>433</v>
      </c>
      <c r="D103" s="7" t="s">
        <v>198</v>
      </c>
      <c r="E103" s="8" t="s">
        <v>200</v>
      </c>
      <c r="F103" s="7"/>
    </row>
    <row r="104" spans="1:6" x14ac:dyDescent="0.25">
      <c r="A104" s="7" t="s">
        <v>33</v>
      </c>
      <c r="B104" s="7" t="s">
        <v>111</v>
      </c>
      <c r="C104" s="7">
        <v>214</v>
      </c>
      <c r="D104" s="7" t="s">
        <v>198</v>
      </c>
      <c r="E104" s="10"/>
      <c r="F104" s="7"/>
    </row>
    <row r="105" spans="1:6" x14ac:dyDescent="0.25">
      <c r="A105" s="7" t="s">
        <v>33</v>
      </c>
      <c r="B105" s="7" t="s">
        <v>54</v>
      </c>
      <c r="C105" s="7">
        <v>50</v>
      </c>
      <c r="D105" s="7" t="s">
        <v>198</v>
      </c>
      <c r="E105" s="10"/>
      <c r="F105" s="7"/>
    </row>
    <row r="106" spans="1:6" x14ac:dyDescent="0.25">
      <c r="A106" s="7" t="s">
        <v>33</v>
      </c>
      <c r="B106" s="7" t="s">
        <v>80</v>
      </c>
      <c r="C106" s="7">
        <v>31</v>
      </c>
      <c r="D106" s="7" t="s">
        <v>198</v>
      </c>
      <c r="E106" s="10"/>
      <c r="F106" s="7"/>
    </row>
    <row r="107" spans="1:6" x14ac:dyDescent="0.25">
      <c r="A107" s="7" t="s">
        <v>33</v>
      </c>
      <c r="B107" s="7" t="s">
        <v>127</v>
      </c>
      <c r="C107" s="7">
        <v>6</v>
      </c>
      <c r="D107" s="7" t="s">
        <v>198</v>
      </c>
      <c r="E107" s="10"/>
      <c r="F107" s="7"/>
    </row>
    <row r="108" spans="1:6" x14ac:dyDescent="0.25">
      <c r="A108" s="7" t="s">
        <v>33</v>
      </c>
      <c r="B108" s="7" t="s">
        <v>78</v>
      </c>
      <c r="C108" s="7">
        <v>1</v>
      </c>
      <c r="D108" s="7" t="s">
        <v>198</v>
      </c>
      <c r="E108" s="10"/>
      <c r="F108" s="7"/>
    </row>
    <row r="109" spans="1:6" x14ac:dyDescent="0.25">
      <c r="A109" s="7" t="s">
        <v>33</v>
      </c>
      <c r="B109" s="7" t="s">
        <v>64</v>
      </c>
      <c r="C109" s="7">
        <v>1</v>
      </c>
      <c r="D109" s="7" t="s">
        <v>198</v>
      </c>
      <c r="E109" s="10"/>
      <c r="F109" s="7"/>
    </row>
    <row r="110" spans="1:6" x14ac:dyDescent="0.25">
      <c r="A110" s="7" t="s">
        <v>33</v>
      </c>
      <c r="B110" s="7" t="s">
        <v>102</v>
      </c>
      <c r="C110" s="7">
        <v>1</v>
      </c>
      <c r="D110" s="7" t="s">
        <v>198</v>
      </c>
      <c r="E110" s="10"/>
      <c r="F110" s="7"/>
    </row>
    <row r="111" spans="1:6" x14ac:dyDescent="0.25">
      <c r="A111" s="7" t="s">
        <v>33</v>
      </c>
      <c r="B111" s="7" t="s">
        <v>107</v>
      </c>
      <c r="C111" s="7">
        <v>1</v>
      </c>
      <c r="D111" s="7" t="s">
        <v>198</v>
      </c>
      <c r="E111" s="10"/>
      <c r="F111" s="7"/>
    </row>
    <row r="112" spans="1:6" x14ac:dyDescent="0.25">
      <c r="A112" s="7" t="s">
        <v>33</v>
      </c>
      <c r="B112" s="7" t="s">
        <v>106</v>
      </c>
      <c r="C112" s="7">
        <v>1</v>
      </c>
      <c r="D112" s="7" t="s">
        <v>198</v>
      </c>
      <c r="E112" s="10"/>
      <c r="F112" s="7"/>
    </row>
    <row r="113" spans="1:6" x14ac:dyDescent="0.25">
      <c r="A113" s="7" t="s">
        <v>33</v>
      </c>
      <c r="B113" s="7" t="s">
        <v>57</v>
      </c>
      <c r="C113" s="7">
        <v>1</v>
      </c>
      <c r="D113" s="7" t="s">
        <v>198</v>
      </c>
      <c r="E113" s="10"/>
      <c r="F113" s="7"/>
    </row>
    <row r="114" spans="1:6" x14ac:dyDescent="0.25">
      <c r="A114" s="7" t="s">
        <v>33</v>
      </c>
      <c r="B114" s="7" t="s">
        <v>100</v>
      </c>
      <c r="C114" s="7">
        <v>1</v>
      </c>
      <c r="D114" s="7" t="s">
        <v>198</v>
      </c>
      <c r="E114" s="10"/>
      <c r="F114" s="7"/>
    </row>
    <row r="115" spans="1:6" x14ac:dyDescent="0.25">
      <c r="A115" s="7" t="s">
        <v>33</v>
      </c>
      <c r="B115" s="7" t="s">
        <v>105</v>
      </c>
      <c r="C115" s="7">
        <v>1</v>
      </c>
      <c r="D115" s="7" t="s">
        <v>198</v>
      </c>
      <c r="E115" s="10"/>
      <c r="F115" s="7"/>
    </row>
    <row r="116" spans="1:6" x14ac:dyDescent="0.25">
      <c r="A116" s="7" t="s">
        <v>33</v>
      </c>
      <c r="B116" s="7" t="s">
        <v>96</v>
      </c>
      <c r="C116" s="7">
        <v>1</v>
      </c>
      <c r="D116" s="7" t="s">
        <v>198</v>
      </c>
      <c r="E116" s="10"/>
      <c r="F116" s="7"/>
    </row>
    <row r="117" spans="1:6" x14ac:dyDescent="0.25">
      <c r="A117" s="7" t="s">
        <v>33</v>
      </c>
      <c r="B117" s="7" t="s">
        <v>52</v>
      </c>
      <c r="C117" s="7">
        <v>1</v>
      </c>
      <c r="D117" s="7" t="s">
        <v>198</v>
      </c>
      <c r="E117" s="10"/>
      <c r="F117" s="7"/>
    </row>
    <row r="118" spans="1:6" x14ac:dyDescent="0.25">
      <c r="A118" s="7" t="s">
        <v>33</v>
      </c>
      <c r="B118" s="7" t="s">
        <v>104</v>
      </c>
      <c r="C118" s="7">
        <v>1</v>
      </c>
      <c r="D118" s="7" t="s">
        <v>198</v>
      </c>
      <c r="E118" s="10"/>
      <c r="F118" s="7"/>
    </row>
    <row r="119" spans="1:6" x14ac:dyDescent="0.25">
      <c r="A119" s="7" t="s">
        <v>33</v>
      </c>
      <c r="B119" s="7" t="s">
        <v>73</v>
      </c>
      <c r="C119" s="7">
        <v>1</v>
      </c>
      <c r="D119" s="7" t="s">
        <v>198</v>
      </c>
      <c r="E119" s="10"/>
      <c r="F119" s="7"/>
    </row>
    <row r="120" spans="1:6" ht="52.8" x14ac:dyDescent="0.25">
      <c r="A120" s="7" t="s">
        <v>37</v>
      </c>
      <c r="B120" s="7" t="s">
        <v>153</v>
      </c>
      <c r="C120" s="7">
        <v>468</v>
      </c>
      <c r="D120" s="7" t="s">
        <v>176</v>
      </c>
      <c r="E120" s="8" t="s">
        <v>255</v>
      </c>
      <c r="F120" s="7"/>
    </row>
    <row r="121" spans="1:6" x14ac:dyDescent="0.25">
      <c r="A121" s="7" t="s">
        <v>37</v>
      </c>
      <c r="B121" s="7" t="s">
        <v>161</v>
      </c>
      <c r="C121" s="7">
        <v>96</v>
      </c>
      <c r="D121" s="7" t="s">
        <v>176</v>
      </c>
      <c r="E121" s="10"/>
      <c r="F121" s="7"/>
    </row>
    <row r="122" spans="1:6" x14ac:dyDescent="0.25">
      <c r="A122" s="7" t="s">
        <v>37</v>
      </c>
      <c r="B122" s="7" t="s">
        <v>147</v>
      </c>
      <c r="C122" s="7">
        <v>38</v>
      </c>
      <c r="D122" s="7" t="s">
        <v>176</v>
      </c>
      <c r="E122" s="10"/>
      <c r="F122" s="7"/>
    </row>
    <row r="123" spans="1:6" x14ac:dyDescent="0.25">
      <c r="A123" s="7" t="s">
        <v>37</v>
      </c>
      <c r="B123" s="7" t="s">
        <v>111</v>
      </c>
      <c r="C123" s="7">
        <v>29</v>
      </c>
      <c r="D123" s="7" t="s">
        <v>176</v>
      </c>
      <c r="E123" s="10"/>
      <c r="F123" s="7"/>
    </row>
    <row r="124" spans="1:6" x14ac:dyDescent="0.25">
      <c r="A124" s="7" t="s">
        <v>37</v>
      </c>
      <c r="B124" s="7" t="s">
        <v>129</v>
      </c>
      <c r="C124" s="7">
        <v>22</v>
      </c>
      <c r="D124" s="7" t="s">
        <v>176</v>
      </c>
      <c r="E124" s="10"/>
      <c r="F124" s="7"/>
    </row>
    <row r="125" spans="1:6" x14ac:dyDescent="0.25">
      <c r="A125" s="7" t="s">
        <v>37</v>
      </c>
      <c r="B125" s="7" t="s">
        <v>149</v>
      </c>
      <c r="C125" s="7">
        <v>21</v>
      </c>
      <c r="D125" s="7" t="s">
        <v>176</v>
      </c>
      <c r="E125" s="10"/>
      <c r="F125" s="7"/>
    </row>
    <row r="126" spans="1:6" x14ac:dyDescent="0.25">
      <c r="A126" s="7" t="s">
        <v>37</v>
      </c>
      <c r="B126" s="7" t="s">
        <v>112</v>
      </c>
      <c r="C126" s="7">
        <v>10</v>
      </c>
      <c r="D126" s="7" t="s">
        <v>176</v>
      </c>
      <c r="E126" s="10"/>
      <c r="F126" s="7"/>
    </row>
    <row r="127" spans="1:6" x14ac:dyDescent="0.25">
      <c r="A127" s="7" t="s">
        <v>37</v>
      </c>
      <c r="B127" s="7" t="s">
        <v>128</v>
      </c>
      <c r="C127" s="7">
        <v>7</v>
      </c>
      <c r="D127" s="7" t="s">
        <v>176</v>
      </c>
      <c r="E127" s="10"/>
      <c r="F127" s="7"/>
    </row>
    <row r="128" spans="1:6" x14ac:dyDescent="0.25">
      <c r="A128" s="7" t="s">
        <v>37</v>
      </c>
      <c r="B128" s="7" t="s">
        <v>127</v>
      </c>
      <c r="C128" s="7">
        <v>2</v>
      </c>
      <c r="D128" s="7" t="s">
        <v>176</v>
      </c>
      <c r="E128" s="10"/>
      <c r="F128" s="7"/>
    </row>
    <row r="129" spans="1:6" x14ac:dyDescent="0.25">
      <c r="A129" s="7" t="s">
        <v>37</v>
      </c>
      <c r="B129" s="7" t="s">
        <v>78</v>
      </c>
      <c r="C129" s="7">
        <v>1</v>
      </c>
      <c r="D129" s="7" t="s">
        <v>176</v>
      </c>
      <c r="E129" s="10"/>
      <c r="F129" s="7"/>
    </row>
    <row r="130" spans="1:6" x14ac:dyDescent="0.25">
      <c r="A130" s="7" t="s">
        <v>37</v>
      </c>
      <c r="B130" s="7" t="s">
        <v>103</v>
      </c>
      <c r="C130" s="7">
        <v>1</v>
      </c>
      <c r="D130" s="7" t="s">
        <v>176</v>
      </c>
      <c r="E130" s="10"/>
      <c r="F130" s="7"/>
    </row>
    <row r="131" spans="1:6" x14ac:dyDescent="0.25">
      <c r="A131" s="7" t="s">
        <v>37</v>
      </c>
      <c r="B131" s="7" t="s">
        <v>77</v>
      </c>
      <c r="C131" s="7">
        <v>1</v>
      </c>
      <c r="D131" s="7" t="s">
        <v>176</v>
      </c>
      <c r="E131" s="10"/>
      <c r="F131" s="7"/>
    </row>
    <row r="132" spans="1:6" x14ac:dyDescent="0.25">
      <c r="A132" s="7" t="s">
        <v>37</v>
      </c>
      <c r="B132" s="7" t="s">
        <v>102</v>
      </c>
      <c r="C132" s="7">
        <v>1</v>
      </c>
      <c r="D132" s="7" t="s">
        <v>176</v>
      </c>
      <c r="E132" s="10"/>
      <c r="F132" s="7"/>
    </row>
    <row r="133" spans="1:6" x14ac:dyDescent="0.25">
      <c r="A133" s="7" t="s">
        <v>37</v>
      </c>
      <c r="B133" s="7" t="s">
        <v>101</v>
      </c>
      <c r="C133" s="7">
        <v>1</v>
      </c>
      <c r="D133" s="7" t="s">
        <v>176</v>
      </c>
      <c r="E133" s="10"/>
      <c r="F133" s="7"/>
    </row>
    <row r="134" spans="1:6" x14ac:dyDescent="0.25">
      <c r="A134" s="7" t="s">
        <v>37</v>
      </c>
      <c r="B134" s="7" t="s">
        <v>84</v>
      </c>
      <c r="C134" s="7">
        <v>1</v>
      </c>
      <c r="D134" s="7" t="s">
        <v>176</v>
      </c>
      <c r="E134" s="10"/>
      <c r="F134" s="7"/>
    </row>
    <row r="135" spans="1:6" x14ac:dyDescent="0.25">
      <c r="A135" s="7" t="s">
        <v>37</v>
      </c>
      <c r="B135" s="7" t="s">
        <v>75</v>
      </c>
      <c r="C135" s="7">
        <v>1</v>
      </c>
      <c r="D135" s="7" t="s">
        <v>176</v>
      </c>
      <c r="E135" s="10"/>
      <c r="F135" s="7"/>
    </row>
    <row r="136" spans="1:6" x14ac:dyDescent="0.25">
      <c r="A136" s="7" t="s">
        <v>37</v>
      </c>
      <c r="B136" s="7" t="s">
        <v>100</v>
      </c>
      <c r="C136" s="7">
        <v>1</v>
      </c>
      <c r="D136" s="7" t="s">
        <v>176</v>
      </c>
      <c r="E136" s="10"/>
      <c r="F136" s="7"/>
    </row>
    <row r="137" spans="1:6" x14ac:dyDescent="0.25">
      <c r="A137" s="7" t="s">
        <v>37</v>
      </c>
      <c r="B137" s="7" t="s">
        <v>99</v>
      </c>
      <c r="C137" s="7">
        <v>1</v>
      </c>
      <c r="D137" s="7" t="s">
        <v>176</v>
      </c>
      <c r="E137" s="10"/>
      <c r="F137" s="7"/>
    </row>
    <row r="138" spans="1:6" x14ac:dyDescent="0.25">
      <c r="A138" s="7" t="s">
        <v>37</v>
      </c>
      <c r="B138" s="7" t="s">
        <v>54</v>
      </c>
      <c r="C138" s="7">
        <v>1</v>
      </c>
      <c r="D138" s="7" t="s">
        <v>176</v>
      </c>
      <c r="E138" s="10"/>
      <c r="F138" s="7"/>
    </row>
    <row r="139" spans="1:6" x14ac:dyDescent="0.25">
      <c r="A139" s="7" t="s">
        <v>37</v>
      </c>
      <c r="B139" s="7" t="s">
        <v>96</v>
      </c>
      <c r="C139" s="7">
        <v>1</v>
      </c>
      <c r="D139" s="7" t="s">
        <v>176</v>
      </c>
      <c r="E139" s="10"/>
      <c r="F139" s="7"/>
    </row>
    <row r="140" spans="1:6" x14ac:dyDescent="0.25">
      <c r="A140" s="7" t="s">
        <v>37</v>
      </c>
      <c r="B140" s="7" t="s">
        <v>80</v>
      </c>
      <c r="C140" s="7">
        <v>1</v>
      </c>
      <c r="D140" s="7" t="s">
        <v>176</v>
      </c>
      <c r="E140" s="10"/>
      <c r="F140" s="7"/>
    </row>
    <row r="141" spans="1:6" x14ac:dyDescent="0.25">
      <c r="A141" s="7" t="s">
        <v>37</v>
      </c>
      <c r="B141" s="7" t="s">
        <v>52</v>
      </c>
      <c r="C141" s="7">
        <v>1</v>
      </c>
      <c r="D141" s="7" t="s">
        <v>176</v>
      </c>
      <c r="E141" s="10"/>
      <c r="F141" s="7"/>
    </row>
    <row r="142" spans="1:6" x14ac:dyDescent="0.25">
      <c r="A142" s="7" t="s">
        <v>37</v>
      </c>
      <c r="B142" s="7" t="s">
        <v>73</v>
      </c>
      <c r="C142" s="7">
        <v>1</v>
      </c>
      <c r="D142" s="7" t="s">
        <v>176</v>
      </c>
      <c r="E142" s="10"/>
      <c r="F142" s="7"/>
    </row>
    <row r="143" spans="1:6" ht="52.8" x14ac:dyDescent="0.25">
      <c r="A143" s="7" t="s">
        <v>34</v>
      </c>
      <c r="B143" s="7" t="s">
        <v>129</v>
      </c>
      <c r="C143" s="7">
        <v>60</v>
      </c>
      <c r="D143" s="7" t="s">
        <v>249</v>
      </c>
      <c r="E143" s="8" t="s">
        <v>250</v>
      </c>
      <c r="F143" s="7"/>
    </row>
    <row r="144" spans="1:6" x14ac:dyDescent="0.25">
      <c r="A144" s="7" t="s">
        <v>34</v>
      </c>
      <c r="B144" s="7" t="s">
        <v>80</v>
      </c>
      <c r="C144" s="7">
        <v>11</v>
      </c>
      <c r="D144" s="7" t="s">
        <v>249</v>
      </c>
      <c r="E144" s="10"/>
      <c r="F144" s="7"/>
    </row>
    <row r="145" spans="1:6" x14ac:dyDescent="0.25">
      <c r="A145" s="7" t="s">
        <v>34</v>
      </c>
      <c r="B145" s="7" t="s">
        <v>111</v>
      </c>
      <c r="C145" s="7">
        <v>9</v>
      </c>
      <c r="D145" s="7" t="s">
        <v>249</v>
      </c>
      <c r="E145" s="10"/>
      <c r="F145" s="7"/>
    </row>
    <row r="146" spans="1:6" x14ac:dyDescent="0.25">
      <c r="A146" s="7" t="s">
        <v>34</v>
      </c>
      <c r="B146" s="7" t="s">
        <v>54</v>
      </c>
      <c r="C146" s="7">
        <v>4</v>
      </c>
      <c r="D146" s="7" t="s">
        <v>249</v>
      </c>
      <c r="E146" s="10"/>
      <c r="F146" s="7"/>
    </row>
    <row r="147" spans="1:6" x14ac:dyDescent="0.25">
      <c r="A147" s="7" t="s">
        <v>34</v>
      </c>
      <c r="B147" s="7" t="s">
        <v>127</v>
      </c>
      <c r="C147" s="7">
        <v>2</v>
      </c>
      <c r="D147" s="7" t="s">
        <v>249</v>
      </c>
      <c r="E147" s="10"/>
      <c r="F147" s="7"/>
    </row>
    <row r="148" spans="1:6" x14ac:dyDescent="0.25">
      <c r="A148" s="7" t="s">
        <v>34</v>
      </c>
      <c r="B148" s="7" t="s">
        <v>78</v>
      </c>
      <c r="C148" s="7">
        <v>1</v>
      </c>
      <c r="D148" s="7" t="s">
        <v>249</v>
      </c>
      <c r="E148" s="10"/>
      <c r="F148" s="7"/>
    </row>
    <row r="149" spans="1:6" x14ac:dyDescent="0.25">
      <c r="A149" s="7" t="s">
        <v>34</v>
      </c>
      <c r="B149" s="7" t="s">
        <v>67</v>
      </c>
      <c r="C149" s="7">
        <v>1</v>
      </c>
      <c r="D149" s="7" t="s">
        <v>249</v>
      </c>
      <c r="E149" s="10"/>
      <c r="F149" s="7"/>
    </row>
    <row r="150" spans="1:6" x14ac:dyDescent="0.25">
      <c r="A150" s="7" t="s">
        <v>34</v>
      </c>
      <c r="B150" s="7" t="s">
        <v>64</v>
      </c>
      <c r="C150" s="7">
        <v>1</v>
      </c>
      <c r="D150" s="7" t="s">
        <v>249</v>
      </c>
      <c r="E150" s="10"/>
      <c r="F150" s="7"/>
    </row>
    <row r="151" spans="1:6" x14ac:dyDescent="0.25">
      <c r="A151" s="7" t="s">
        <v>34</v>
      </c>
      <c r="B151" s="7" t="s">
        <v>220</v>
      </c>
      <c r="C151" s="7">
        <v>1</v>
      </c>
      <c r="D151" s="7" t="s">
        <v>249</v>
      </c>
      <c r="E151" s="10"/>
      <c r="F151" s="7"/>
    </row>
    <row r="152" spans="1:6" x14ac:dyDescent="0.25">
      <c r="A152" s="7" t="s">
        <v>34</v>
      </c>
      <c r="B152" s="7" t="s">
        <v>98</v>
      </c>
      <c r="C152" s="7">
        <v>1</v>
      </c>
      <c r="D152" s="7" t="s">
        <v>249</v>
      </c>
      <c r="E152" s="10"/>
      <c r="F152" s="7"/>
    </row>
    <row r="153" spans="1:6" x14ac:dyDescent="0.25">
      <c r="A153" s="7" t="s">
        <v>34</v>
      </c>
      <c r="B153" s="7" t="s">
        <v>81</v>
      </c>
      <c r="C153" s="7">
        <v>1</v>
      </c>
      <c r="D153" s="7" t="s">
        <v>249</v>
      </c>
      <c r="E153" s="10"/>
      <c r="F153" s="7"/>
    </row>
    <row r="154" spans="1:6" x14ac:dyDescent="0.25">
      <c r="A154" s="7" t="s">
        <v>34</v>
      </c>
      <c r="B154" s="7" t="s">
        <v>97</v>
      </c>
      <c r="C154" s="7">
        <v>1</v>
      </c>
      <c r="D154" s="7" t="s">
        <v>249</v>
      </c>
      <c r="E154" s="10"/>
      <c r="F154" s="7"/>
    </row>
    <row r="155" spans="1:6" x14ac:dyDescent="0.25">
      <c r="A155" s="7" t="s">
        <v>34</v>
      </c>
      <c r="B155" s="7" t="s">
        <v>96</v>
      </c>
      <c r="C155" s="7">
        <v>1</v>
      </c>
      <c r="D155" s="7" t="s">
        <v>249</v>
      </c>
      <c r="E155" s="10"/>
      <c r="F155" s="7"/>
    </row>
    <row r="156" spans="1:6" x14ac:dyDescent="0.25">
      <c r="A156" s="7" t="s">
        <v>34</v>
      </c>
      <c r="B156" s="7" t="s">
        <v>53</v>
      </c>
      <c r="C156" s="7">
        <v>1</v>
      </c>
      <c r="D156" s="7" t="s">
        <v>249</v>
      </c>
      <c r="E156" s="10"/>
      <c r="F156" s="7"/>
    </row>
    <row r="157" spans="1:6" x14ac:dyDescent="0.25">
      <c r="A157" s="7" t="s">
        <v>34</v>
      </c>
      <c r="B157" s="7" t="s">
        <v>49</v>
      </c>
      <c r="C157" s="7">
        <v>1</v>
      </c>
      <c r="D157" s="7" t="s">
        <v>249</v>
      </c>
      <c r="E157" s="10"/>
      <c r="F157" s="7"/>
    </row>
    <row r="158" spans="1:6" ht="39.6" x14ac:dyDescent="0.25">
      <c r="A158" s="7" t="s">
        <v>35</v>
      </c>
      <c r="B158" s="7" t="s">
        <v>91</v>
      </c>
      <c r="C158" s="7">
        <v>184</v>
      </c>
      <c r="D158" s="7" t="s">
        <v>264</v>
      </c>
      <c r="E158" s="8" t="s">
        <v>265</v>
      </c>
      <c r="F158" s="7"/>
    </row>
    <row r="159" spans="1:6" x14ac:dyDescent="0.25">
      <c r="A159" s="7" t="s">
        <v>35</v>
      </c>
      <c r="B159" s="7" t="s">
        <v>153</v>
      </c>
      <c r="C159" s="7">
        <v>39</v>
      </c>
      <c r="D159" s="7" t="s">
        <v>264</v>
      </c>
      <c r="E159" s="10"/>
      <c r="F159" s="7"/>
    </row>
    <row r="160" spans="1:6" x14ac:dyDescent="0.25">
      <c r="A160" s="7" t="s">
        <v>35</v>
      </c>
      <c r="B160" s="7" t="s">
        <v>135</v>
      </c>
      <c r="C160" s="7">
        <v>3</v>
      </c>
      <c r="D160" s="7" t="s">
        <v>264</v>
      </c>
      <c r="E160" s="10"/>
      <c r="F160" s="7"/>
    </row>
    <row r="161" spans="1:6" x14ac:dyDescent="0.25">
      <c r="A161" s="7" t="s">
        <v>35</v>
      </c>
      <c r="B161" s="7" t="s">
        <v>95</v>
      </c>
      <c r="C161" s="7">
        <v>1</v>
      </c>
      <c r="D161" s="7" t="s">
        <v>264</v>
      </c>
      <c r="E161" s="10"/>
      <c r="F161" s="7"/>
    </row>
    <row r="162" spans="1:6" ht="26.4" x14ac:dyDescent="0.25">
      <c r="A162" s="7" t="s">
        <v>90</v>
      </c>
      <c r="B162" s="7" t="s">
        <v>140</v>
      </c>
      <c r="C162" s="7">
        <v>263</v>
      </c>
      <c r="D162" s="7" t="s">
        <v>139</v>
      </c>
      <c r="E162" s="8" t="s">
        <v>181</v>
      </c>
      <c r="F162" s="7"/>
    </row>
    <row r="163" spans="1:6" x14ac:dyDescent="0.25">
      <c r="A163" s="7" t="s">
        <v>90</v>
      </c>
      <c r="B163" s="7" t="s">
        <v>157</v>
      </c>
      <c r="C163" s="7">
        <v>52</v>
      </c>
      <c r="D163" s="7" t="s">
        <v>139</v>
      </c>
      <c r="E163" s="10"/>
    </row>
    <row r="164" spans="1:6" x14ac:dyDescent="0.25">
      <c r="A164" s="7" t="s">
        <v>90</v>
      </c>
      <c r="B164" s="7" t="s">
        <v>146</v>
      </c>
      <c r="C164" s="7">
        <v>12</v>
      </c>
      <c r="D164" s="7" t="s">
        <v>139</v>
      </c>
      <c r="E164" s="10"/>
      <c r="F164" s="7"/>
    </row>
    <row r="165" spans="1:6" x14ac:dyDescent="0.25">
      <c r="A165" s="7" t="s">
        <v>90</v>
      </c>
      <c r="B165" s="7" t="s">
        <v>145</v>
      </c>
      <c r="C165" s="7">
        <v>12</v>
      </c>
      <c r="D165" s="7" t="s">
        <v>139</v>
      </c>
      <c r="E165" s="10"/>
      <c r="F165" s="7"/>
    </row>
    <row r="166" spans="1:6" x14ac:dyDescent="0.25">
      <c r="A166" s="7" t="s">
        <v>90</v>
      </c>
      <c r="B166" s="7" t="s">
        <v>134</v>
      </c>
      <c r="C166" s="7">
        <v>3</v>
      </c>
      <c r="D166" s="7" t="s">
        <v>139</v>
      </c>
      <c r="E166" s="10"/>
      <c r="F166" s="7"/>
    </row>
    <row r="167" spans="1:6" ht="52.8" x14ac:dyDescent="0.25">
      <c r="A167" s="7" t="s">
        <v>90</v>
      </c>
      <c r="B167" s="7" t="s">
        <v>50</v>
      </c>
      <c r="C167" s="7">
        <v>34</v>
      </c>
      <c r="D167" s="7" t="s">
        <v>176</v>
      </c>
      <c r="E167" s="8" t="s">
        <v>179</v>
      </c>
      <c r="F167" s="7"/>
    </row>
    <row r="168" spans="1:6" x14ac:dyDescent="0.25">
      <c r="A168" s="7" t="s">
        <v>90</v>
      </c>
      <c r="B168" s="7" t="s">
        <v>152</v>
      </c>
      <c r="C168" s="7">
        <v>23</v>
      </c>
      <c r="D168" s="7" t="s">
        <v>176</v>
      </c>
      <c r="E168" s="10"/>
      <c r="F168" s="7"/>
    </row>
    <row r="169" spans="1:6" x14ac:dyDescent="0.25">
      <c r="A169" s="7" t="s">
        <v>90</v>
      </c>
      <c r="B169" s="7" t="s">
        <v>142</v>
      </c>
      <c r="C169" s="7">
        <v>23</v>
      </c>
      <c r="D169" s="7" t="s">
        <v>176</v>
      </c>
      <c r="E169" s="10"/>
      <c r="F169" s="7"/>
    </row>
    <row r="170" spans="1:6" x14ac:dyDescent="0.25">
      <c r="A170" s="7" t="s">
        <v>90</v>
      </c>
      <c r="B170" s="7" t="s">
        <v>135</v>
      </c>
      <c r="C170" s="7">
        <v>19</v>
      </c>
      <c r="D170" s="7" t="s">
        <v>176</v>
      </c>
      <c r="E170" s="10"/>
      <c r="F170" s="7"/>
    </row>
    <row r="171" spans="1:6" x14ac:dyDescent="0.25">
      <c r="A171" s="7" t="s">
        <v>90</v>
      </c>
      <c r="B171" s="7" t="s">
        <v>136</v>
      </c>
      <c r="C171" s="7">
        <v>4</v>
      </c>
      <c r="D171" s="7" t="s">
        <v>176</v>
      </c>
      <c r="E171" s="10"/>
      <c r="F171" s="7"/>
    </row>
    <row r="172" spans="1:6" x14ac:dyDescent="0.25">
      <c r="A172" s="7" t="s">
        <v>90</v>
      </c>
      <c r="B172" s="7" t="s">
        <v>93</v>
      </c>
      <c r="C172" s="7">
        <v>1</v>
      </c>
      <c r="D172" s="7" t="s">
        <v>176</v>
      </c>
      <c r="E172" s="10"/>
      <c r="F172" s="7"/>
    </row>
    <row r="173" spans="1:6" x14ac:dyDescent="0.25">
      <c r="A173" s="7" t="s">
        <v>90</v>
      </c>
      <c r="B173" s="7" t="s">
        <v>92</v>
      </c>
      <c r="C173" s="7">
        <v>1</v>
      </c>
      <c r="D173" s="7" t="s">
        <v>176</v>
      </c>
      <c r="E173" s="10"/>
      <c r="F173" s="7"/>
    </row>
    <row r="174" spans="1:6" x14ac:dyDescent="0.25">
      <c r="A174" s="7" t="s">
        <v>90</v>
      </c>
      <c r="B174" s="7" t="s">
        <v>91</v>
      </c>
      <c r="C174" s="7">
        <v>1</v>
      </c>
      <c r="D174" s="7" t="s">
        <v>176</v>
      </c>
      <c r="E174" s="10"/>
      <c r="F174" s="7"/>
    </row>
    <row r="175" spans="1:6" x14ac:dyDescent="0.25">
      <c r="A175" s="7" t="s">
        <v>90</v>
      </c>
      <c r="B175" s="7" t="s">
        <v>89</v>
      </c>
      <c r="C175" s="7">
        <v>1</v>
      </c>
      <c r="D175" s="7" t="s">
        <v>176</v>
      </c>
      <c r="E175" s="10"/>
      <c r="F175" s="7"/>
    </row>
    <row r="176" spans="1:6" ht="52.8" x14ac:dyDescent="0.25">
      <c r="A176" s="7" t="s">
        <v>90</v>
      </c>
      <c r="B176" s="7" t="s">
        <v>123</v>
      </c>
      <c r="C176" s="7">
        <v>334</v>
      </c>
      <c r="D176" s="7" t="s">
        <v>165</v>
      </c>
      <c r="E176" s="8" t="s">
        <v>180</v>
      </c>
      <c r="F176" s="7"/>
    </row>
    <row r="177" spans="1:6" x14ac:dyDescent="0.25">
      <c r="A177" s="7" t="s">
        <v>90</v>
      </c>
      <c r="B177" s="7" t="s">
        <v>94</v>
      </c>
      <c r="C177" s="7">
        <v>1</v>
      </c>
      <c r="D177" s="7" t="s">
        <v>165</v>
      </c>
      <c r="E177" s="10"/>
      <c r="F177" s="7"/>
    </row>
    <row r="178" spans="1:6" ht="52.8" x14ac:dyDescent="0.25">
      <c r="A178" s="7" t="s">
        <v>79</v>
      </c>
      <c r="B178" s="7" t="s">
        <v>153</v>
      </c>
      <c r="C178" s="7">
        <v>134</v>
      </c>
      <c r="D178" s="7" t="s">
        <v>189</v>
      </c>
      <c r="E178" s="8" t="s">
        <v>190</v>
      </c>
      <c r="F178" s="7"/>
    </row>
    <row r="179" spans="1:6" x14ac:dyDescent="0.25">
      <c r="A179" s="7" t="s">
        <v>79</v>
      </c>
      <c r="B179" s="7" t="s">
        <v>135</v>
      </c>
      <c r="C179" s="7">
        <v>76</v>
      </c>
      <c r="D179" s="7" t="s">
        <v>189</v>
      </c>
      <c r="E179" s="10"/>
      <c r="F179" s="7"/>
    </row>
    <row r="180" spans="1:6" x14ac:dyDescent="0.25">
      <c r="A180" s="7" t="s">
        <v>79</v>
      </c>
      <c r="B180" s="7" t="s">
        <v>91</v>
      </c>
      <c r="C180" s="7">
        <v>17</v>
      </c>
      <c r="D180" s="7" t="s">
        <v>189</v>
      </c>
      <c r="E180" s="10"/>
      <c r="F180" s="7"/>
    </row>
    <row r="181" spans="1:6" x14ac:dyDescent="0.25">
      <c r="A181" s="7" t="s">
        <v>79</v>
      </c>
      <c r="B181" s="7" t="s">
        <v>126</v>
      </c>
      <c r="C181" s="7">
        <v>2</v>
      </c>
      <c r="D181" s="7" t="s">
        <v>189</v>
      </c>
      <c r="E181" s="10"/>
      <c r="F181" s="7"/>
    </row>
    <row r="182" spans="1:6" x14ac:dyDescent="0.25">
      <c r="A182" s="7" t="s">
        <v>79</v>
      </c>
      <c r="B182" s="7" t="s">
        <v>88</v>
      </c>
      <c r="C182" s="7">
        <v>1</v>
      </c>
      <c r="D182" s="7" t="s">
        <v>189</v>
      </c>
      <c r="E182" s="10"/>
      <c r="F182" s="7"/>
    </row>
    <row r="183" spans="1:6" x14ac:dyDescent="0.25">
      <c r="A183" s="7" t="s">
        <v>79</v>
      </c>
      <c r="B183" s="7" t="s">
        <v>87</v>
      </c>
      <c r="C183" s="7">
        <v>1</v>
      </c>
      <c r="D183" s="7" t="s">
        <v>189</v>
      </c>
      <c r="E183" s="10"/>
      <c r="F183" s="7"/>
    </row>
    <row r="184" spans="1:6" x14ac:dyDescent="0.25">
      <c r="A184" s="7" t="s">
        <v>79</v>
      </c>
      <c r="B184" s="7" t="s">
        <v>86</v>
      </c>
      <c r="C184" s="7">
        <v>1</v>
      </c>
      <c r="D184" s="7" t="s">
        <v>189</v>
      </c>
      <c r="E184" s="10"/>
      <c r="F184" s="7"/>
    </row>
    <row r="185" spans="1:6" x14ac:dyDescent="0.25">
      <c r="A185" s="7" t="s">
        <v>79</v>
      </c>
      <c r="B185" s="7" t="s">
        <v>61</v>
      </c>
      <c r="C185" s="7">
        <v>1</v>
      </c>
      <c r="D185" s="7" t="s">
        <v>189</v>
      </c>
      <c r="E185" s="10"/>
      <c r="F185" s="7"/>
    </row>
    <row r="186" spans="1:6" x14ac:dyDescent="0.25">
      <c r="A186" s="7" t="s">
        <v>79</v>
      </c>
      <c r="B186" s="7" t="s">
        <v>82</v>
      </c>
      <c r="C186" s="7">
        <v>1</v>
      </c>
      <c r="D186" s="7" t="s">
        <v>189</v>
      </c>
      <c r="E186" s="10"/>
      <c r="F186" s="7"/>
    </row>
    <row r="187" spans="1:6" x14ac:dyDescent="0.25">
      <c r="A187" s="7" t="s">
        <v>79</v>
      </c>
      <c r="B187" s="7" t="s">
        <v>56</v>
      </c>
      <c r="C187" s="7">
        <v>1</v>
      </c>
      <c r="D187" s="7" t="s">
        <v>189</v>
      </c>
      <c r="E187" s="10"/>
      <c r="F187" s="7"/>
    </row>
    <row r="188" spans="1:6" x14ac:dyDescent="0.25">
      <c r="A188" s="7" t="s">
        <v>79</v>
      </c>
      <c r="B188" s="7" t="s">
        <v>81</v>
      </c>
      <c r="C188" s="7">
        <v>1</v>
      </c>
      <c r="D188" s="7" t="s">
        <v>189</v>
      </c>
      <c r="E188" s="10"/>
      <c r="F188" s="7"/>
    </row>
    <row r="189" spans="1:6" x14ac:dyDescent="0.25">
      <c r="A189" s="7" t="s">
        <v>79</v>
      </c>
      <c r="B189" s="7" t="s">
        <v>54</v>
      </c>
      <c r="C189" s="7">
        <v>1</v>
      </c>
      <c r="D189" s="7" t="s">
        <v>189</v>
      </c>
      <c r="E189" s="10"/>
      <c r="F189" s="7"/>
    </row>
    <row r="190" spans="1:6" x14ac:dyDescent="0.25">
      <c r="A190" s="7" t="s">
        <v>79</v>
      </c>
      <c r="B190" s="7" t="s">
        <v>80</v>
      </c>
      <c r="C190" s="7">
        <v>1</v>
      </c>
      <c r="D190" s="7" t="s">
        <v>189</v>
      </c>
      <c r="E190" s="10"/>
      <c r="F190" s="7"/>
    </row>
    <row r="191" spans="1:6" x14ac:dyDescent="0.25">
      <c r="A191" s="7" t="s">
        <v>79</v>
      </c>
      <c r="B191" s="7" t="s">
        <v>49</v>
      </c>
      <c r="C191" s="7">
        <v>1</v>
      </c>
      <c r="D191" s="7" t="s">
        <v>189</v>
      </c>
      <c r="E191" s="10"/>
      <c r="F191" s="7"/>
    </row>
    <row r="192" spans="1:6" ht="52.8" x14ac:dyDescent="0.25">
      <c r="A192" s="7" t="s">
        <v>79</v>
      </c>
      <c r="B192" s="7" t="s">
        <v>50</v>
      </c>
      <c r="C192" s="7">
        <v>59</v>
      </c>
      <c r="D192" s="7" t="s">
        <v>188</v>
      </c>
      <c r="E192" s="8" t="s">
        <v>186</v>
      </c>
      <c r="F192" s="7"/>
    </row>
    <row r="193" spans="1:6" x14ac:dyDescent="0.25">
      <c r="A193" s="7" t="s">
        <v>79</v>
      </c>
      <c r="B193" s="7" t="s">
        <v>65</v>
      </c>
      <c r="C193" s="7">
        <v>40</v>
      </c>
      <c r="D193" s="7" t="s">
        <v>188</v>
      </c>
      <c r="E193" s="10"/>
      <c r="F193" s="7"/>
    </row>
    <row r="194" spans="1:6" x14ac:dyDescent="0.25">
      <c r="A194" s="7" t="s">
        <v>79</v>
      </c>
      <c r="B194" s="7" t="s">
        <v>137</v>
      </c>
      <c r="C194" s="7">
        <v>26</v>
      </c>
      <c r="D194" s="7" t="s">
        <v>188</v>
      </c>
      <c r="E194" s="10"/>
      <c r="F194" s="7"/>
    </row>
    <row r="195" spans="1:6" x14ac:dyDescent="0.25">
      <c r="A195" s="7" t="s">
        <v>79</v>
      </c>
      <c r="B195" s="7" t="s">
        <v>71</v>
      </c>
      <c r="C195" s="7">
        <v>25</v>
      </c>
      <c r="D195" s="7" t="s">
        <v>188</v>
      </c>
      <c r="E195" s="10"/>
      <c r="F195" s="7"/>
    </row>
    <row r="196" spans="1:6" x14ac:dyDescent="0.25">
      <c r="A196" s="7" t="s">
        <v>79</v>
      </c>
      <c r="B196" s="7" t="s">
        <v>131</v>
      </c>
      <c r="C196" s="7">
        <v>23</v>
      </c>
      <c r="D196" s="7" t="s">
        <v>188</v>
      </c>
      <c r="E196" s="10"/>
      <c r="F196" s="7"/>
    </row>
    <row r="197" spans="1:6" x14ac:dyDescent="0.25">
      <c r="A197" s="7" t="s">
        <v>79</v>
      </c>
      <c r="B197" s="7" t="s">
        <v>74</v>
      </c>
      <c r="C197" s="7">
        <v>18</v>
      </c>
      <c r="D197" s="7" t="s">
        <v>188</v>
      </c>
      <c r="E197" s="10"/>
      <c r="F197" s="7"/>
    </row>
    <row r="198" spans="1:6" x14ac:dyDescent="0.25">
      <c r="A198" s="7" t="s">
        <v>79</v>
      </c>
      <c r="B198" s="7" t="s">
        <v>72</v>
      </c>
      <c r="C198" s="7">
        <v>14</v>
      </c>
      <c r="D198" s="7" t="s">
        <v>188</v>
      </c>
      <c r="E198" s="10"/>
      <c r="F198" s="7"/>
    </row>
    <row r="199" spans="1:6" x14ac:dyDescent="0.25">
      <c r="A199" s="7" t="s">
        <v>79</v>
      </c>
      <c r="B199" s="7" t="s">
        <v>130</v>
      </c>
      <c r="C199" s="7">
        <v>14</v>
      </c>
      <c r="D199" s="7" t="s">
        <v>188</v>
      </c>
      <c r="E199" s="10"/>
      <c r="F199" s="7"/>
    </row>
    <row r="200" spans="1:6" x14ac:dyDescent="0.25">
      <c r="A200" s="7" t="s">
        <v>79</v>
      </c>
      <c r="B200" s="7" t="s">
        <v>62</v>
      </c>
      <c r="C200" s="7">
        <v>10</v>
      </c>
      <c r="D200" s="7" t="s">
        <v>188</v>
      </c>
      <c r="E200" s="10"/>
      <c r="F200" s="7"/>
    </row>
    <row r="201" spans="1:6" x14ac:dyDescent="0.25">
      <c r="A201" s="7" t="s">
        <v>79</v>
      </c>
      <c r="B201" s="7" t="s">
        <v>51</v>
      </c>
      <c r="C201" s="7">
        <v>9</v>
      </c>
      <c r="D201" s="7" t="s">
        <v>188</v>
      </c>
      <c r="E201" s="10"/>
      <c r="F201" s="7"/>
    </row>
    <row r="202" spans="1:6" x14ac:dyDescent="0.25">
      <c r="A202" s="7" t="s">
        <v>79</v>
      </c>
      <c r="B202" s="7" t="s">
        <v>68</v>
      </c>
      <c r="C202" s="7">
        <v>3</v>
      </c>
      <c r="D202" s="7" t="s">
        <v>188</v>
      </c>
      <c r="E202" s="10"/>
      <c r="F202" s="7"/>
    </row>
    <row r="203" spans="1:6" x14ac:dyDescent="0.25">
      <c r="A203" s="7" t="s">
        <v>79</v>
      </c>
      <c r="B203" s="7" t="s">
        <v>133</v>
      </c>
      <c r="C203" s="7">
        <v>3</v>
      </c>
      <c r="D203" s="7" t="s">
        <v>188</v>
      </c>
      <c r="E203" s="10"/>
      <c r="F203" s="7"/>
    </row>
    <row r="204" spans="1:6" x14ac:dyDescent="0.25">
      <c r="A204" s="7" t="s">
        <v>79</v>
      </c>
      <c r="B204" s="7" t="s">
        <v>70</v>
      </c>
      <c r="C204" s="7">
        <v>2</v>
      </c>
      <c r="D204" s="7" t="s">
        <v>188</v>
      </c>
      <c r="E204" s="10"/>
      <c r="F204" s="7"/>
    </row>
    <row r="205" spans="1:6" x14ac:dyDescent="0.25">
      <c r="A205" s="7" t="s">
        <v>79</v>
      </c>
      <c r="B205" s="7" t="s">
        <v>122</v>
      </c>
      <c r="C205" s="7">
        <v>2</v>
      </c>
      <c r="D205" s="7" t="s">
        <v>188</v>
      </c>
      <c r="E205" s="10"/>
      <c r="F205" s="7"/>
    </row>
    <row r="206" spans="1:6" x14ac:dyDescent="0.25">
      <c r="A206" s="7" t="s">
        <v>79</v>
      </c>
      <c r="B206" s="7" t="s">
        <v>67</v>
      </c>
      <c r="C206" s="7">
        <v>1</v>
      </c>
      <c r="D206" s="7" t="s">
        <v>188</v>
      </c>
      <c r="E206" s="10"/>
      <c r="F206" s="7"/>
    </row>
    <row r="207" spans="1:6" x14ac:dyDescent="0.25">
      <c r="A207" s="7" t="s">
        <v>79</v>
      </c>
      <c r="B207" s="7" t="s">
        <v>85</v>
      </c>
      <c r="C207" s="7">
        <v>1</v>
      </c>
      <c r="D207" s="7" t="s">
        <v>188</v>
      </c>
      <c r="E207" s="10"/>
      <c r="F207" s="7"/>
    </row>
    <row r="208" spans="1:6" x14ac:dyDescent="0.25">
      <c r="A208" s="7" t="s">
        <v>79</v>
      </c>
      <c r="B208" s="7" t="s">
        <v>84</v>
      </c>
      <c r="C208" s="7">
        <v>1</v>
      </c>
      <c r="D208" s="7" t="s">
        <v>188</v>
      </c>
      <c r="E208" s="10"/>
      <c r="F208" s="7"/>
    </row>
    <row r="209" spans="1:6" x14ac:dyDescent="0.25">
      <c r="A209" s="7" t="s">
        <v>79</v>
      </c>
      <c r="B209" s="7" t="s">
        <v>83</v>
      </c>
      <c r="C209" s="7">
        <v>1</v>
      </c>
      <c r="D209" s="7" t="s">
        <v>188</v>
      </c>
      <c r="E209" s="10"/>
      <c r="F209" s="7"/>
    </row>
    <row r="210" spans="1:6" x14ac:dyDescent="0.25">
      <c r="A210" s="7" t="s">
        <v>39</v>
      </c>
      <c r="B210" s="7" t="s">
        <v>161</v>
      </c>
      <c r="C210" s="7">
        <v>542</v>
      </c>
      <c r="D210" s="7" t="s">
        <v>176</v>
      </c>
      <c r="E210" s="8" t="s">
        <v>224</v>
      </c>
      <c r="F210" s="7"/>
    </row>
    <row r="211" spans="1:6" x14ac:dyDescent="0.25">
      <c r="A211" s="7" t="s">
        <v>39</v>
      </c>
      <c r="B211" s="7" t="s">
        <v>129</v>
      </c>
      <c r="C211" s="7">
        <v>418</v>
      </c>
      <c r="D211" s="7" t="s">
        <v>176</v>
      </c>
      <c r="E211" s="10"/>
      <c r="F211" s="7"/>
    </row>
    <row r="212" spans="1:6" x14ac:dyDescent="0.25">
      <c r="A212" s="7" t="s">
        <v>39</v>
      </c>
      <c r="B212" s="7" t="s">
        <v>153</v>
      </c>
      <c r="C212" s="7">
        <v>292</v>
      </c>
      <c r="D212" s="7" t="s">
        <v>176</v>
      </c>
      <c r="E212" s="10"/>
      <c r="F212" s="7"/>
    </row>
    <row r="213" spans="1:6" x14ac:dyDescent="0.25">
      <c r="A213" s="7" t="s">
        <v>39</v>
      </c>
      <c r="B213" s="7" t="s">
        <v>147</v>
      </c>
      <c r="C213" s="7">
        <v>203</v>
      </c>
      <c r="D213" s="7" t="s">
        <v>176</v>
      </c>
      <c r="E213" s="10"/>
      <c r="F213" s="7"/>
    </row>
    <row r="214" spans="1:6" x14ac:dyDescent="0.25">
      <c r="A214" s="7" t="s">
        <v>39</v>
      </c>
      <c r="B214" s="7" t="s">
        <v>112</v>
      </c>
      <c r="C214" s="7">
        <v>151</v>
      </c>
      <c r="D214" s="7" t="s">
        <v>176</v>
      </c>
      <c r="E214" s="10"/>
      <c r="F214" s="7"/>
    </row>
    <row r="215" spans="1:6" x14ac:dyDescent="0.25">
      <c r="A215" s="7" t="s">
        <v>39</v>
      </c>
      <c r="B215" s="7" t="s">
        <v>111</v>
      </c>
      <c r="C215" s="7">
        <v>116</v>
      </c>
      <c r="D215" s="7" t="s">
        <v>176</v>
      </c>
      <c r="E215" s="10"/>
      <c r="F215" s="7"/>
    </row>
    <row r="216" spans="1:6" x14ac:dyDescent="0.25">
      <c r="A216" s="7" t="s">
        <v>39</v>
      </c>
      <c r="B216" s="7" t="s">
        <v>149</v>
      </c>
      <c r="C216" s="7">
        <v>96</v>
      </c>
      <c r="D216" s="7" t="s">
        <v>176</v>
      </c>
      <c r="E216" s="10"/>
      <c r="F216" s="7"/>
    </row>
    <row r="217" spans="1:6" x14ac:dyDescent="0.25">
      <c r="A217" s="7" t="s">
        <v>39</v>
      </c>
      <c r="B217" s="7" t="s">
        <v>128</v>
      </c>
      <c r="C217" s="7">
        <v>54</v>
      </c>
      <c r="D217" s="7" t="s">
        <v>176</v>
      </c>
      <c r="E217" s="10"/>
      <c r="F217" s="7"/>
    </row>
    <row r="218" spans="1:6" x14ac:dyDescent="0.25">
      <c r="A218" s="7" t="s">
        <v>39</v>
      </c>
      <c r="B218" s="7" t="s">
        <v>96</v>
      </c>
      <c r="C218" s="7">
        <v>51</v>
      </c>
      <c r="D218" s="7" t="s">
        <v>176</v>
      </c>
      <c r="E218" s="10"/>
      <c r="F218" s="7"/>
    </row>
    <row r="219" spans="1:6" x14ac:dyDescent="0.25">
      <c r="A219" s="7" t="s">
        <v>39</v>
      </c>
      <c r="B219" s="7" t="s">
        <v>127</v>
      </c>
      <c r="C219" s="7">
        <v>23</v>
      </c>
      <c r="D219" s="7" t="s">
        <v>176</v>
      </c>
      <c r="E219" s="10"/>
      <c r="F219" s="7"/>
    </row>
    <row r="220" spans="1:6" x14ac:dyDescent="0.25">
      <c r="A220" s="7" t="s">
        <v>39</v>
      </c>
      <c r="B220" s="7" t="s">
        <v>101</v>
      </c>
      <c r="C220" s="7">
        <v>6</v>
      </c>
      <c r="D220" s="7" t="s">
        <v>176</v>
      </c>
      <c r="E220" s="10"/>
      <c r="F220" s="7"/>
    </row>
    <row r="221" spans="1:6" x14ac:dyDescent="0.25">
      <c r="A221" s="7" t="s">
        <v>39</v>
      </c>
      <c r="B221" s="7" t="s">
        <v>80</v>
      </c>
      <c r="C221" s="7">
        <v>2</v>
      </c>
      <c r="D221" s="7" t="s">
        <v>176</v>
      </c>
      <c r="E221" s="10"/>
      <c r="F221" s="7"/>
    </row>
    <row r="222" spans="1:6" x14ac:dyDescent="0.25">
      <c r="A222" s="7" t="s">
        <v>39</v>
      </c>
      <c r="B222" s="7" t="s">
        <v>78</v>
      </c>
      <c r="C222" s="7">
        <v>1</v>
      </c>
      <c r="D222" s="7" t="s">
        <v>176</v>
      </c>
      <c r="E222" s="10"/>
      <c r="F222" s="7"/>
    </row>
    <row r="223" spans="1:6" x14ac:dyDescent="0.25">
      <c r="A223" s="7" t="s">
        <v>39</v>
      </c>
      <c r="B223" s="7" t="s">
        <v>77</v>
      </c>
      <c r="C223" s="7">
        <v>1</v>
      </c>
      <c r="D223" s="7" t="s">
        <v>176</v>
      </c>
      <c r="E223" s="10"/>
      <c r="F223" s="7"/>
    </row>
    <row r="224" spans="1:6" x14ac:dyDescent="0.25">
      <c r="A224" s="7" t="s">
        <v>39</v>
      </c>
      <c r="B224" s="7" t="s">
        <v>76</v>
      </c>
      <c r="C224" s="7">
        <v>1</v>
      </c>
      <c r="D224" s="7" t="s">
        <v>176</v>
      </c>
      <c r="E224" s="10"/>
      <c r="F224" s="7"/>
    </row>
    <row r="225" spans="1:6" x14ac:dyDescent="0.25">
      <c r="A225" s="7" t="s">
        <v>39</v>
      </c>
      <c r="B225" s="7" t="s">
        <v>65</v>
      </c>
      <c r="C225" s="7">
        <v>1</v>
      </c>
      <c r="D225" s="7" t="s">
        <v>176</v>
      </c>
      <c r="E225" s="10"/>
      <c r="F225" s="7"/>
    </row>
    <row r="226" spans="1:6" x14ac:dyDescent="0.25">
      <c r="A226" s="7" t="s">
        <v>39</v>
      </c>
      <c r="B226" s="7" t="s">
        <v>75</v>
      </c>
      <c r="C226" s="7">
        <v>1</v>
      </c>
      <c r="D226" s="7" t="s">
        <v>176</v>
      </c>
      <c r="E226" s="10"/>
      <c r="F226" s="7"/>
    </row>
    <row r="227" spans="1:6" x14ac:dyDescent="0.25">
      <c r="A227" s="7" t="s">
        <v>39</v>
      </c>
      <c r="B227" s="7" t="s">
        <v>54</v>
      </c>
      <c r="C227" s="7">
        <v>1</v>
      </c>
      <c r="D227" s="7" t="s">
        <v>176</v>
      </c>
      <c r="E227" s="10"/>
      <c r="F227" s="7"/>
    </row>
    <row r="228" spans="1:6" x14ac:dyDescent="0.25">
      <c r="A228" s="7" t="s">
        <v>39</v>
      </c>
      <c r="B228" s="7" t="s">
        <v>74</v>
      </c>
      <c r="C228" s="7">
        <v>1</v>
      </c>
      <c r="D228" s="7" t="s">
        <v>176</v>
      </c>
      <c r="E228" s="10"/>
      <c r="F228" s="7"/>
    </row>
    <row r="229" spans="1:6" x14ac:dyDescent="0.25">
      <c r="A229" s="7" t="s">
        <v>39</v>
      </c>
      <c r="B229" s="7" t="s">
        <v>73</v>
      </c>
      <c r="C229" s="7">
        <v>1</v>
      </c>
      <c r="D229" s="7" t="s">
        <v>176</v>
      </c>
      <c r="E229" s="10"/>
      <c r="F229" s="7"/>
    </row>
    <row r="230" spans="1:6" ht="39.6" x14ac:dyDescent="0.25">
      <c r="A230" s="7" t="s">
        <v>270</v>
      </c>
      <c r="B230" s="7" t="s">
        <v>135</v>
      </c>
      <c r="C230" s="7">
        <v>92</v>
      </c>
      <c r="D230" s="7" t="s">
        <v>228</v>
      </c>
      <c r="E230" s="8" t="s">
        <v>260</v>
      </c>
      <c r="F230" s="7"/>
    </row>
    <row r="231" spans="1:6" ht="39.6" x14ac:dyDescent="0.25">
      <c r="A231" s="7" t="s">
        <v>271</v>
      </c>
      <c r="B231" s="7" t="s">
        <v>74</v>
      </c>
      <c r="C231" s="7">
        <v>58</v>
      </c>
      <c r="D231" s="7" t="s">
        <v>261</v>
      </c>
      <c r="E231" s="8" t="s">
        <v>262</v>
      </c>
      <c r="F231" s="7"/>
    </row>
    <row r="232" spans="1:6" x14ac:dyDescent="0.25">
      <c r="A232" s="7" t="s">
        <v>271</v>
      </c>
      <c r="B232" s="7" t="s">
        <v>130</v>
      </c>
      <c r="C232" s="7">
        <v>24</v>
      </c>
      <c r="D232" s="7" t="s">
        <v>261</v>
      </c>
      <c r="E232" s="10"/>
      <c r="F232" s="7"/>
    </row>
    <row r="233" spans="1:6" x14ac:dyDescent="0.25">
      <c r="A233" s="7" t="s">
        <v>271</v>
      </c>
      <c r="B233" s="7" t="s">
        <v>137</v>
      </c>
      <c r="C233" s="7">
        <v>19</v>
      </c>
      <c r="D233" s="7" t="s">
        <v>261</v>
      </c>
      <c r="E233" s="10"/>
      <c r="F233" s="7"/>
    </row>
    <row r="234" spans="1:6" x14ac:dyDescent="0.25">
      <c r="A234" s="7" t="s">
        <v>271</v>
      </c>
      <c r="B234" s="7" t="s">
        <v>50</v>
      </c>
      <c r="C234" s="7">
        <v>17</v>
      </c>
      <c r="D234" s="7" t="s">
        <v>261</v>
      </c>
      <c r="E234" s="10"/>
      <c r="F234" s="7"/>
    </row>
    <row r="235" spans="1:6" x14ac:dyDescent="0.25">
      <c r="A235" s="7" t="s">
        <v>271</v>
      </c>
      <c r="B235" s="7" t="s">
        <v>141</v>
      </c>
      <c r="C235" s="7">
        <v>10</v>
      </c>
      <c r="D235" s="7" t="s">
        <v>261</v>
      </c>
      <c r="E235" s="10"/>
      <c r="F235" s="7"/>
    </row>
    <row r="236" spans="1:6" x14ac:dyDescent="0.25">
      <c r="A236" s="7" t="s">
        <v>271</v>
      </c>
      <c r="B236" s="7" t="s">
        <v>118</v>
      </c>
      <c r="C236" s="7">
        <v>7</v>
      </c>
      <c r="D236" s="7" t="s">
        <v>261</v>
      </c>
      <c r="E236" s="10"/>
      <c r="F236" s="7"/>
    </row>
    <row r="237" spans="1:6" x14ac:dyDescent="0.25">
      <c r="A237" s="7" t="s">
        <v>271</v>
      </c>
      <c r="B237" s="7" t="s">
        <v>51</v>
      </c>
      <c r="C237" s="7">
        <v>4</v>
      </c>
      <c r="D237" s="7" t="s">
        <v>261</v>
      </c>
      <c r="E237" s="10"/>
      <c r="F237" s="7"/>
    </row>
    <row r="238" spans="1:6" x14ac:dyDescent="0.25">
      <c r="A238" s="7" t="s">
        <v>271</v>
      </c>
      <c r="B238" s="7" t="s">
        <v>72</v>
      </c>
      <c r="C238" s="7">
        <v>1</v>
      </c>
      <c r="D238" s="7" t="s">
        <v>261</v>
      </c>
      <c r="E238" s="10"/>
      <c r="F238" s="7"/>
    </row>
    <row r="239" spans="1:6" x14ac:dyDescent="0.25">
      <c r="A239" s="7" t="s">
        <v>271</v>
      </c>
      <c r="B239" s="7" t="s">
        <v>71</v>
      </c>
      <c r="C239" s="7">
        <v>1</v>
      </c>
      <c r="D239" s="7" t="s">
        <v>261</v>
      </c>
      <c r="E239" s="10"/>
      <c r="F239" s="7"/>
    </row>
    <row r="240" spans="1:6" ht="39.6" x14ac:dyDescent="0.25">
      <c r="A240" s="7" t="s">
        <v>38</v>
      </c>
      <c r="B240" s="7" t="s">
        <v>153</v>
      </c>
      <c r="C240" s="7">
        <v>1183</v>
      </c>
      <c r="D240" s="7" t="s">
        <v>189</v>
      </c>
      <c r="E240" s="8" t="s">
        <v>208</v>
      </c>
      <c r="F240" s="7"/>
    </row>
    <row r="241" spans="1:6" x14ac:dyDescent="0.25">
      <c r="A241" s="7" t="s">
        <v>38</v>
      </c>
      <c r="B241" s="7" t="s">
        <v>112</v>
      </c>
      <c r="C241" s="7">
        <v>14</v>
      </c>
      <c r="D241" s="7" t="s">
        <v>189</v>
      </c>
      <c r="E241" s="10"/>
      <c r="F241" s="7"/>
    </row>
    <row r="242" spans="1:6" x14ac:dyDescent="0.25">
      <c r="A242" s="7" t="s">
        <v>38</v>
      </c>
      <c r="B242" s="7" t="s">
        <v>147</v>
      </c>
      <c r="C242" s="7">
        <v>13</v>
      </c>
      <c r="D242" s="7" t="s">
        <v>189</v>
      </c>
      <c r="E242" s="10"/>
      <c r="F242" s="7"/>
    </row>
    <row r="243" spans="1:6" x14ac:dyDescent="0.25">
      <c r="A243" s="7" t="s">
        <v>38</v>
      </c>
      <c r="B243" s="7" t="s">
        <v>91</v>
      </c>
      <c r="C243" s="7">
        <v>13</v>
      </c>
      <c r="D243" s="7" t="s">
        <v>189</v>
      </c>
      <c r="E243" s="10"/>
      <c r="F243" s="7"/>
    </row>
    <row r="244" spans="1:6" x14ac:dyDescent="0.25">
      <c r="A244" s="7" t="s">
        <v>38</v>
      </c>
      <c r="B244" s="7" t="s">
        <v>135</v>
      </c>
      <c r="C244" s="7">
        <v>4</v>
      </c>
      <c r="D244" s="7" t="s">
        <v>189</v>
      </c>
      <c r="E244" s="10"/>
      <c r="F244" s="7"/>
    </row>
    <row r="245" spans="1:6" x14ac:dyDescent="0.25">
      <c r="A245" s="7" t="s">
        <v>38</v>
      </c>
      <c r="B245" s="7" t="s">
        <v>80</v>
      </c>
      <c r="C245" s="7">
        <v>3</v>
      </c>
      <c r="D245" s="7" t="s">
        <v>189</v>
      </c>
      <c r="E245" s="10"/>
      <c r="F245" s="7"/>
    </row>
    <row r="246" spans="1:6" ht="52.8" x14ac:dyDescent="0.25">
      <c r="A246" s="7" t="s">
        <v>38</v>
      </c>
      <c r="B246" s="7" t="s">
        <v>164</v>
      </c>
      <c r="C246" s="7">
        <v>1308</v>
      </c>
      <c r="D246" s="7" t="s">
        <v>209</v>
      </c>
      <c r="E246" s="8" t="s">
        <v>211</v>
      </c>
      <c r="F246" s="7"/>
    </row>
    <row r="247" spans="1:6" x14ac:dyDescent="0.25">
      <c r="A247" s="7" t="s">
        <v>38</v>
      </c>
      <c r="B247" s="7" t="s">
        <v>118</v>
      </c>
      <c r="C247" s="7">
        <v>260</v>
      </c>
      <c r="D247" s="7" t="s">
        <v>209</v>
      </c>
      <c r="E247" s="10"/>
      <c r="F247" s="7"/>
    </row>
    <row r="248" spans="1:6" x14ac:dyDescent="0.25">
      <c r="A248" s="7" t="s">
        <v>38</v>
      </c>
      <c r="B248" s="7" t="s">
        <v>163</v>
      </c>
      <c r="C248" s="7">
        <v>179</v>
      </c>
      <c r="D248" s="7" t="s">
        <v>209</v>
      </c>
      <c r="E248" s="10"/>
      <c r="F248" s="7"/>
    </row>
    <row r="249" spans="1:6" x14ac:dyDescent="0.25">
      <c r="A249" s="7" t="s">
        <v>38</v>
      </c>
      <c r="B249" s="7" t="s">
        <v>160</v>
      </c>
      <c r="C249" s="7">
        <v>73</v>
      </c>
      <c r="D249" s="7" t="s">
        <v>209</v>
      </c>
      <c r="E249" s="10"/>
      <c r="F249" s="7"/>
    </row>
    <row r="250" spans="1:6" x14ac:dyDescent="0.25">
      <c r="A250" s="7" t="s">
        <v>38</v>
      </c>
      <c r="B250" s="7" t="s">
        <v>95</v>
      </c>
      <c r="C250" s="7">
        <v>72</v>
      </c>
      <c r="D250" s="7" t="s">
        <v>209</v>
      </c>
      <c r="E250" s="10"/>
      <c r="F250" s="7"/>
    </row>
    <row r="251" spans="1:6" x14ac:dyDescent="0.25">
      <c r="A251" s="7" t="s">
        <v>38</v>
      </c>
      <c r="B251" s="7" t="s">
        <v>158</v>
      </c>
      <c r="C251" s="7">
        <v>57</v>
      </c>
      <c r="D251" s="7" t="s">
        <v>209</v>
      </c>
      <c r="E251" s="10"/>
      <c r="F251" s="7"/>
    </row>
    <row r="252" spans="1:6" x14ac:dyDescent="0.25">
      <c r="A252" s="7" t="s">
        <v>38</v>
      </c>
      <c r="B252" s="7" t="s">
        <v>156</v>
      </c>
      <c r="C252" s="7">
        <v>39</v>
      </c>
      <c r="D252" s="7" t="s">
        <v>209</v>
      </c>
      <c r="E252" s="10"/>
      <c r="F252" s="7"/>
    </row>
    <row r="253" spans="1:6" x14ac:dyDescent="0.25">
      <c r="A253" s="7" t="s">
        <v>38</v>
      </c>
      <c r="B253" s="7" t="s">
        <v>155</v>
      </c>
      <c r="C253" s="7">
        <v>37</v>
      </c>
      <c r="D253" s="7" t="s">
        <v>209</v>
      </c>
      <c r="E253" s="10"/>
      <c r="F253" s="7"/>
    </row>
    <row r="254" spans="1:6" x14ac:dyDescent="0.25">
      <c r="A254" s="7" t="s">
        <v>38</v>
      </c>
      <c r="B254" s="7" t="s">
        <v>154</v>
      </c>
      <c r="C254" s="7">
        <v>36</v>
      </c>
      <c r="D254" s="7" t="s">
        <v>209</v>
      </c>
      <c r="E254" s="10"/>
      <c r="F254" s="7"/>
    </row>
    <row r="255" spans="1:6" x14ac:dyDescent="0.25">
      <c r="A255" s="7" t="s">
        <v>38</v>
      </c>
      <c r="B255" s="7" t="s">
        <v>148</v>
      </c>
      <c r="C255" s="7">
        <v>14</v>
      </c>
      <c r="D255" s="7" t="s">
        <v>209</v>
      </c>
      <c r="E255" s="10"/>
      <c r="F255" s="7"/>
    </row>
    <row r="256" spans="1:6" x14ac:dyDescent="0.25">
      <c r="A256" s="7" t="s">
        <v>38</v>
      </c>
      <c r="B256" s="7" t="s">
        <v>109</v>
      </c>
      <c r="C256" s="7">
        <v>13</v>
      </c>
      <c r="D256" s="7" t="s">
        <v>209</v>
      </c>
      <c r="E256" s="10"/>
      <c r="F256" s="7"/>
    </row>
    <row r="257" spans="1:6" x14ac:dyDescent="0.25">
      <c r="A257" s="7" t="s">
        <v>38</v>
      </c>
      <c r="B257" s="7" t="s">
        <v>144</v>
      </c>
      <c r="C257" s="7">
        <v>12</v>
      </c>
      <c r="D257" s="7" t="s">
        <v>209</v>
      </c>
      <c r="E257" s="10"/>
      <c r="F257" s="7"/>
    </row>
    <row r="258" spans="1:6" x14ac:dyDescent="0.25">
      <c r="A258" s="7" t="s">
        <v>38</v>
      </c>
      <c r="B258" s="7" t="s">
        <v>143</v>
      </c>
      <c r="C258" s="7">
        <v>11</v>
      </c>
      <c r="D258" s="7" t="s">
        <v>209</v>
      </c>
      <c r="E258" s="10"/>
      <c r="F258" s="7"/>
    </row>
    <row r="259" spans="1:6" x14ac:dyDescent="0.25">
      <c r="A259" s="7" t="s">
        <v>38</v>
      </c>
      <c r="B259" s="7" t="s">
        <v>108</v>
      </c>
      <c r="C259" s="7">
        <v>9</v>
      </c>
      <c r="D259" s="7" t="s">
        <v>209</v>
      </c>
      <c r="E259" s="10"/>
      <c r="F259" s="7"/>
    </row>
    <row r="260" spans="1:6" x14ac:dyDescent="0.25">
      <c r="A260" s="7" t="s">
        <v>38</v>
      </c>
      <c r="B260" s="7" t="s">
        <v>138</v>
      </c>
      <c r="C260" s="7">
        <v>5</v>
      </c>
      <c r="D260" s="7" t="s">
        <v>209</v>
      </c>
      <c r="E260" s="10"/>
      <c r="F260" s="7"/>
    </row>
    <row r="261" spans="1:6" x14ac:dyDescent="0.25">
      <c r="A261" s="7" t="s">
        <v>38</v>
      </c>
      <c r="B261" s="7" t="s">
        <v>132</v>
      </c>
      <c r="C261" s="7">
        <v>3</v>
      </c>
      <c r="D261" s="7" t="s">
        <v>209</v>
      </c>
      <c r="E261" s="10"/>
      <c r="F261" s="7"/>
    </row>
    <row r="262" spans="1:6" x14ac:dyDescent="0.25">
      <c r="A262" s="7" t="s">
        <v>38</v>
      </c>
      <c r="B262" s="7" t="s">
        <v>122</v>
      </c>
      <c r="C262" s="7">
        <v>2</v>
      </c>
      <c r="D262" s="7" t="s">
        <v>209</v>
      </c>
      <c r="E262" s="10"/>
      <c r="F262" s="7"/>
    </row>
    <row r="263" spans="1:6" x14ac:dyDescent="0.25">
      <c r="A263" s="7" t="s">
        <v>38</v>
      </c>
      <c r="B263" s="7" t="s">
        <v>74</v>
      </c>
      <c r="C263" s="7">
        <v>2</v>
      </c>
      <c r="D263" s="7" t="s">
        <v>209</v>
      </c>
      <c r="E263" s="10"/>
      <c r="F263" s="7"/>
    </row>
    <row r="264" spans="1:6" x14ac:dyDescent="0.25">
      <c r="A264" s="7" t="s">
        <v>38</v>
      </c>
      <c r="B264" s="7" t="s">
        <v>70</v>
      </c>
      <c r="C264" s="7">
        <v>1</v>
      </c>
      <c r="D264" s="7" t="s">
        <v>209</v>
      </c>
      <c r="E264" s="10"/>
      <c r="F264" s="7"/>
    </row>
    <row r="265" spans="1:6" x14ac:dyDescent="0.25">
      <c r="A265" s="7" t="s">
        <v>38</v>
      </c>
      <c r="B265" s="7" t="s">
        <v>69</v>
      </c>
      <c r="C265" s="7">
        <v>1</v>
      </c>
      <c r="D265" s="7" t="s">
        <v>209</v>
      </c>
      <c r="E265" s="10"/>
      <c r="F265" s="7"/>
    </row>
    <row r="266" spans="1:6" x14ac:dyDescent="0.25">
      <c r="A266" s="7" t="s">
        <v>38</v>
      </c>
      <c r="B266" s="7" t="s">
        <v>68</v>
      </c>
      <c r="C266" s="7">
        <v>1</v>
      </c>
      <c r="D266" s="7" t="s">
        <v>209</v>
      </c>
      <c r="E266" s="10"/>
      <c r="F266" s="7"/>
    </row>
    <row r="267" spans="1:6" x14ac:dyDescent="0.25">
      <c r="A267" s="7" t="s">
        <v>38</v>
      </c>
      <c r="B267" s="7" t="s">
        <v>67</v>
      </c>
      <c r="C267" s="7">
        <v>1</v>
      </c>
      <c r="D267" s="7" t="s">
        <v>209</v>
      </c>
      <c r="E267" s="10"/>
      <c r="F267" s="7"/>
    </row>
    <row r="268" spans="1:6" x14ac:dyDescent="0.25">
      <c r="A268" s="7" t="s">
        <v>38</v>
      </c>
      <c r="B268" s="7" t="s">
        <v>66</v>
      </c>
      <c r="C268" s="7">
        <v>1</v>
      </c>
      <c r="D268" s="7" t="s">
        <v>209</v>
      </c>
      <c r="E268" s="10"/>
      <c r="F268" s="7"/>
    </row>
    <row r="269" spans="1:6" x14ac:dyDescent="0.25">
      <c r="A269" s="7" t="s">
        <v>38</v>
      </c>
      <c r="B269" s="7" t="s">
        <v>65</v>
      </c>
      <c r="C269" s="7">
        <v>1</v>
      </c>
      <c r="D269" s="7" t="s">
        <v>209</v>
      </c>
      <c r="E269" s="10"/>
      <c r="F269" s="7"/>
    </row>
    <row r="270" spans="1:6" x14ac:dyDescent="0.25">
      <c r="A270" s="7" t="s">
        <v>38</v>
      </c>
      <c r="B270" s="7" t="s">
        <v>64</v>
      </c>
      <c r="C270" s="7">
        <v>1</v>
      </c>
      <c r="D270" s="7" t="s">
        <v>209</v>
      </c>
      <c r="E270" s="10"/>
      <c r="F270" s="7"/>
    </row>
    <row r="271" spans="1:6" x14ac:dyDescent="0.25">
      <c r="A271" s="7" t="s">
        <v>38</v>
      </c>
      <c r="B271" s="7" t="s">
        <v>63</v>
      </c>
      <c r="C271" s="7">
        <v>1</v>
      </c>
      <c r="D271" s="7" t="s">
        <v>209</v>
      </c>
      <c r="E271" s="10"/>
      <c r="F271" s="7"/>
    </row>
    <row r="272" spans="1:6" x14ac:dyDescent="0.25">
      <c r="A272" s="7" t="s">
        <v>38</v>
      </c>
      <c r="B272" s="7" t="s">
        <v>62</v>
      </c>
      <c r="C272" s="7">
        <v>1</v>
      </c>
      <c r="D272" s="7" t="s">
        <v>209</v>
      </c>
      <c r="E272" s="10"/>
      <c r="F272" s="7"/>
    </row>
    <row r="273" spans="1:6" x14ac:dyDescent="0.25">
      <c r="A273" s="7" t="s">
        <v>38</v>
      </c>
      <c r="B273" s="7" t="s">
        <v>60</v>
      </c>
      <c r="C273" s="7">
        <v>1</v>
      </c>
      <c r="D273" s="7" t="s">
        <v>209</v>
      </c>
      <c r="E273" s="10"/>
      <c r="F273" s="7"/>
    </row>
    <row r="274" spans="1:6" x14ac:dyDescent="0.25">
      <c r="A274" s="7" t="s">
        <v>38</v>
      </c>
      <c r="B274" s="7" t="s">
        <v>59</v>
      </c>
      <c r="C274" s="7">
        <v>1</v>
      </c>
      <c r="D274" s="7" t="s">
        <v>209</v>
      </c>
      <c r="E274" s="10"/>
      <c r="F274" s="7"/>
    </row>
    <row r="275" spans="1:6" x14ac:dyDescent="0.25">
      <c r="A275" s="7" t="s">
        <v>38</v>
      </c>
      <c r="B275" s="7" t="s">
        <v>57</v>
      </c>
      <c r="C275" s="7">
        <v>1</v>
      </c>
      <c r="D275" s="7" t="s">
        <v>209</v>
      </c>
      <c r="E275" s="10"/>
      <c r="F275" s="7"/>
    </row>
    <row r="276" spans="1:6" x14ac:dyDescent="0.25">
      <c r="A276" s="7" t="s">
        <v>38</v>
      </c>
      <c r="B276" s="7" t="s">
        <v>55</v>
      </c>
      <c r="C276" s="7">
        <v>1</v>
      </c>
      <c r="D276" s="7" t="s">
        <v>209</v>
      </c>
      <c r="E276" s="10"/>
      <c r="F276" s="7"/>
    </row>
    <row r="277" spans="1:6" x14ac:dyDescent="0.25">
      <c r="A277" s="7" t="s">
        <v>38</v>
      </c>
      <c r="B277" s="7" t="s">
        <v>51</v>
      </c>
      <c r="C277" s="7">
        <v>1</v>
      </c>
      <c r="D277" s="7" t="s">
        <v>209</v>
      </c>
      <c r="E277" s="10"/>
      <c r="F277" s="7"/>
    </row>
    <row r="278" spans="1:6" x14ac:dyDescent="0.25">
      <c r="A278" s="7" t="s">
        <v>38</v>
      </c>
      <c r="B278" s="7" t="s">
        <v>50</v>
      </c>
      <c r="C278" s="7">
        <v>1</v>
      </c>
      <c r="D278" s="7" t="s">
        <v>209</v>
      </c>
      <c r="E278" s="10"/>
      <c r="F278" s="7"/>
    </row>
    <row r="279" spans="1:6" ht="39.6" x14ac:dyDescent="0.25">
      <c r="A279" s="7" t="s">
        <v>38</v>
      </c>
      <c r="B279" s="7" t="s">
        <v>149</v>
      </c>
      <c r="C279" s="7">
        <v>795</v>
      </c>
      <c r="D279" s="7" t="s">
        <v>215</v>
      </c>
      <c r="E279" s="8" t="s">
        <v>217</v>
      </c>
      <c r="F279" s="7"/>
    </row>
    <row r="280" spans="1:6" x14ac:dyDescent="0.25">
      <c r="A280" s="7" t="s">
        <v>38</v>
      </c>
      <c r="B280" s="7" t="s">
        <v>126</v>
      </c>
      <c r="C280" s="7">
        <v>205</v>
      </c>
      <c r="D280" s="7" t="s">
        <v>215</v>
      </c>
      <c r="E280" s="10"/>
      <c r="F280" s="7"/>
    </row>
    <row r="281" spans="1:6" x14ac:dyDescent="0.25">
      <c r="A281" s="7" t="s">
        <v>38</v>
      </c>
      <c r="B281" s="7" t="s">
        <v>81</v>
      </c>
      <c r="C281" s="7">
        <v>117</v>
      </c>
      <c r="D281" s="7" t="s">
        <v>215</v>
      </c>
      <c r="E281" s="10"/>
      <c r="F281" s="7"/>
    </row>
    <row r="282" spans="1:6" x14ac:dyDescent="0.25">
      <c r="A282" s="7" t="s">
        <v>38</v>
      </c>
      <c r="B282" s="7" t="s">
        <v>96</v>
      </c>
      <c r="C282" s="7">
        <v>90</v>
      </c>
      <c r="D282" s="7" t="s">
        <v>215</v>
      </c>
      <c r="E282" s="10"/>
      <c r="F282" s="7"/>
    </row>
    <row r="283" spans="1:6" x14ac:dyDescent="0.25">
      <c r="A283" s="7" t="s">
        <v>38</v>
      </c>
      <c r="B283" s="7" t="s">
        <v>133</v>
      </c>
      <c r="C283" s="7">
        <v>7</v>
      </c>
      <c r="D283" s="7" t="s">
        <v>215</v>
      </c>
      <c r="E283" s="10"/>
      <c r="F283" s="7"/>
    </row>
    <row r="284" spans="1:6" x14ac:dyDescent="0.25">
      <c r="A284" s="7" t="s">
        <v>38</v>
      </c>
      <c r="B284" s="7" t="s">
        <v>78</v>
      </c>
      <c r="C284" s="7">
        <v>5</v>
      </c>
      <c r="D284" s="7" t="s">
        <v>215</v>
      </c>
      <c r="E284" s="10"/>
      <c r="F284" s="7"/>
    </row>
    <row r="285" spans="1:6" x14ac:dyDescent="0.25">
      <c r="A285" s="7" t="s">
        <v>38</v>
      </c>
      <c r="B285" s="7" t="s">
        <v>131</v>
      </c>
      <c r="C285" s="7">
        <v>3</v>
      </c>
      <c r="D285" s="7" t="s">
        <v>215</v>
      </c>
      <c r="E285" s="10"/>
      <c r="F285" s="7"/>
    </row>
    <row r="286" spans="1:6" x14ac:dyDescent="0.25">
      <c r="A286" s="7" t="s">
        <v>38</v>
      </c>
      <c r="B286" s="7" t="s">
        <v>61</v>
      </c>
      <c r="C286" s="7">
        <v>1</v>
      </c>
      <c r="D286" s="7" t="s">
        <v>215</v>
      </c>
      <c r="E286" s="10"/>
      <c r="F286" s="7"/>
    </row>
    <row r="287" spans="1:6" x14ac:dyDescent="0.25">
      <c r="A287" s="7" t="s">
        <v>38</v>
      </c>
      <c r="B287" s="7" t="s">
        <v>58</v>
      </c>
      <c r="C287" s="7">
        <v>1</v>
      </c>
      <c r="D287" s="7" t="s">
        <v>215</v>
      </c>
      <c r="E287" s="10"/>
      <c r="F287" s="7"/>
    </row>
    <row r="288" spans="1:6" x14ac:dyDescent="0.25">
      <c r="A288" s="7" t="s">
        <v>38</v>
      </c>
      <c r="B288" s="7" t="s">
        <v>56</v>
      </c>
      <c r="C288" s="7">
        <v>1</v>
      </c>
      <c r="D288" s="7" t="s">
        <v>215</v>
      </c>
      <c r="E288" s="10"/>
      <c r="F288" s="7"/>
    </row>
    <row r="289" spans="1:6" x14ac:dyDescent="0.25">
      <c r="A289" s="7" t="s">
        <v>38</v>
      </c>
      <c r="B289" s="7" t="s">
        <v>49</v>
      </c>
      <c r="C289" s="7">
        <v>1</v>
      </c>
      <c r="D289" s="7" t="s">
        <v>215</v>
      </c>
      <c r="E289" s="10"/>
      <c r="F289" s="7"/>
    </row>
    <row r="290" spans="1:6" ht="39.6" x14ac:dyDescent="0.25">
      <c r="A290" s="7" t="s">
        <v>38</v>
      </c>
      <c r="B290" s="7" t="s">
        <v>129</v>
      </c>
      <c r="C290" s="7">
        <v>520</v>
      </c>
      <c r="D290" s="7" t="s">
        <v>216</v>
      </c>
      <c r="E290" s="8" t="s">
        <v>219</v>
      </c>
      <c r="F290" s="7"/>
    </row>
    <row r="291" spans="1:6" x14ac:dyDescent="0.25">
      <c r="A291" s="7" t="s">
        <v>38</v>
      </c>
      <c r="B291" s="7" t="s">
        <v>161</v>
      </c>
      <c r="C291" s="7">
        <v>455</v>
      </c>
      <c r="D291" s="7" t="s">
        <v>216</v>
      </c>
      <c r="E291" s="10"/>
      <c r="F291" s="7"/>
    </row>
    <row r="292" spans="1:6" x14ac:dyDescent="0.25">
      <c r="A292" s="7" t="s">
        <v>38</v>
      </c>
      <c r="B292" s="7" t="s">
        <v>128</v>
      </c>
      <c r="C292" s="7">
        <v>404</v>
      </c>
      <c r="D292" s="7" t="s">
        <v>216</v>
      </c>
      <c r="E292" s="10"/>
      <c r="F292" s="7"/>
    </row>
    <row r="293" spans="1:6" x14ac:dyDescent="0.25">
      <c r="A293" s="7" t="s">
        <v>38</v>
      </c>
      <c r="B293" s="7" t="s">
        <v>127</v>
      </c>
      <c r="C293" s="7">
        <v>94</v>
      </c>
      <c r="D293" s="7" t="s">
        <v>216</v>
      </c>
      <c r="E293" s="10"/>
      <c r="F293" s="7"/>
    </row>
    <row r="294" spans="1:6" x14ac:dyDescent="0.25">
      <c r="A294" s="7" t="s">
        <v>38</v>
      </c>
      <c r="B294" s="7" t="s">
        <v>111</v>
      </c>
      <c r="C294" s="7">
        <v>32</v>
      </c>
      <c r="D294" s="7" t="s">
        <v>216</v>
      </c>
      <c r="E294" s="10"/>
      <c r="F294" s="7"/>
    </row>
    <row r="295" spans="1:6" x14ac:dyDescent="0.25">
      <c r="A295" s="7" t="s">
        <v>38</v>
      </c>
      <c r="B295" s="7" t="s">
        <v>141</v>
      </c>
      <c r="C295" s="7">
        <v>9</v>
      </c>
      <c r="D295" s="7" t="s">
        <v>216</v>
      </c>
      <c r="E295" s="10"/>
      <c r="F295" s="7"/>
    </row>
    <row r="296" spans="1:6" x14ac:dyDescent="0.25">
      <c r="A296" s="7" t="s">
        <v>38</v>
      </c>
      <c r="B296" s="7" t="s">
        <v>103</v>
      </c>
      <c r="C296" s="7">
        <v>3</v>
      </c>
      <c r="D296" s="7" t="s">
        <v>216</v>
      </c>
      <c r="E296" s="10"/>
      <c r="F296" s="7"/>
    </row>
    <row r="297" spans="1:6" x14ac:dyDescent="0.25">
      <c r="A297" s="7" t="s">
        <v>38</v>
      </c>
      <c r="B297" s="7" t="s">
        <v>54</v>
      </c>
      <c r="C297" s="7">
        <v>1</v>
      </c>
      <c r="D297" s="7" t="s">
        <v>216</v>
      </c>
      <c r="E297" s="10"/>
      <c r="F297" s="7"/>
    </row>
    <row r="298" spans="1:6" x14ac:dyDescent="0.25">
      <c r="A298" s="7" t="s">
        <v>38</v>
      </c>
      <c r="B298" s="7" t="s">
        <v>53</v>
      </c>
      <c r="C298" s="7">
        <v>1</v>
      </c>
      <c r="D298" s="7" t="s">
        <v>216</v>
      </c>
      <c r="E298" s="10"/>
      <c r="F298" s="7"/>
    </row>
    <row r="299" spans="1:6" x14ac:dyDescent="0.25">
      <c r="A299" s="7" t="s">
        <v>38</v>
      </c>
      <c r="B299" s="7" t="s">
        <v>52</v>
      </c>
      <c r="C299" s="7">
        <v>1</v>
      </c>
      <c r="D299" s="7" t="s">
        <v>216</v>
      </c>
      <c r="E299" s="10"/>
      <c r="F299" s="7"/>
    </row>
    <row r="300" spans="1:6" x14ac:dyDescent="0.25">
      <c r="A300" s="7" t="s">
        <v>38</v>
      </c>
      <c r="B300" s="7" t="s">
        <v>48</v>
      </c>
      <c r="C300" s="7">
        <v>1</v>
      </c>
      <c r="D300" s="7" t="s">
        <v>216</v>
      </c>
      <c r="E300" s="10"/>
      <c r="F300" s="7"/>
    </row>
  </sheetData>
  <autoFilter ref="A1:F300" xr:uid="{38A162FC-7907-44C7-A909-E8E1323EC5F6}">
    <sortState xmlns:xlrd2="http://schemas.microsoft.com/office/spreadsheetml/2017/richdata2" ref="A240:F300">
      <sortCondition ref="D1:D300"/>
    </sortState>
  </autoFilter>
  <conditionalFormatting sqref="F2 F5">
    <cfRule type="cellIs" dxfId="5" priority="1" operator="equal">
      <formula>"Y"</formula>
    </cfRule>
    <cfRule type="cellIs" dxfId="4" priority="4" operator="equal">
      <formula>"WIP"</formula>
    </cfRule>
  </conditionalFormatting>
  <conditionalFormatting sqref="F23">
    <cfRule type="cellIs" dxfId="3" priority="3" operator="equal">
      <formula>"Y"</formula>
    </cfRule>
  </conditionalFormatting>
  <conditionalFormatting sqref="F29">
    <cfRule type="cellIs" dxfId="2" priority="2" operator="equal">
      <formula>"Y"</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353B5-0CCF-4CD3-981F-8A6F6874C0EC}">
  <dimension ref="A1:W31"/>
  <sheetViews>
    <sheetView zoomScaleNormal="100" workbookViewId="0">
      <selection activeCell="J8" sqref="J8"/>
    </sheetView>
  </sheetViews>
  <sheetFormatPr defaultColWidth="9.109375" defaultRowHeight="13.8" x14ac:dyDescent="0.25"/>
  <cols>
    <col min="1" max="1" width="6" style="16" bestFit="1" customWidth="1"/>
    <col min="2" max="2" width="50.44140625" style="16" customWidth="1"/>
    <col min="3" max="18" width="8.6640625" style="16" customWidth="1"/>
    <col min="19" max="19" width="11.5546875" style="16" bestFit="1" customWidth="1"/>
    <col min="20" max="20" width="13.5546875" style="16" bestFit="1" customWidth="1"/>
    <col min="21" max="16384" width="9.109375" style="16"/>
  </cols>
  <sheetData>
    <row r="1" spans="1:18" ht="24" x14ac:dyDescent="0.3">
      <c r="B1" s="33" t="s">
        <v>244</v>
      </c>
      <c r="C1" s="32" t="s">
        <v>125</v>
      </c>
      <c r="D1" s="32" t="s">
        <v>90</v>
      </c>
      <c r="E1" s="32" t="s">
        <v>79</v>
      </c>
      <c r="F1" s="32" t="s">
        <v>115</v>
      </c>
      <c r="G1" s="32" t="s">
        <v>195</v>
      </c>
      <c r="H1" s="32" t="s">
        <v>38</v>
      </c>
      <c r="I1" s="32" t="s">
        <v>33</v>
      </c>
      <c r="J1" s="32" t="s">
        <v>37</v>
      </c>
      <c r="K1" s="32" t="s">
        <v>114</v>
      </c>
      <c r="L1" s="32" t="s">
        <v>110</v>
      </c>
      <c r="M1" s="32" t="s">
        <v>36</v>
      </c>
      <c r="N1" s="32" t="s">
        <v>35</v>
      </c>
      <c r="O1" s="32" t="s">
        <v>31</v>
      </c>
      <c r="P1" s="32" t="s">
        <v>34</v>
      </c>
      <c r="Q1" s="32" t="s">
        <v>116</v>
      </c>
      <c r="R1" s="32" t="s">
        <v>39</v>
      </c>
    </row>
    <row r="2" spans="1:18" ht="27.6" x14ac:dyDescent="0.25">
      <c r="A2" s="16">
        <v>1</v>
      </c>
      <c r="B2" s="17" t="s">
        <v>243</v>
      </c>
      <c r="C2" s="31" t="s">
        <v>234</v>
      </c>
      <c r="D2" s="30" t="s">
        <v>234</v>
      </c>
      <c r="E2" s="30" t="s">
        <v>234</v>
      </c>
      <c r="F2" s="30" t="s">
        <v>234</v>
      </c>
      <c r="G2" s="30" t="s">
        <v>234</v>
      </c>
      <c r="H2" s="30" t="s">
        <v>234</v>
      </c>
      <c r="I2" s="30" t="s">
        <v>234</v>
      </c>
      <c r="J2" s="52" t="s">
        <v>234</v>
      </c>
      <c r="K2" s="43" t="s">
        <v>234</v>
      </c>
      <c r="L2" s="38" t="s">
        <v>234</v>
      </c>
      <c r="M2" s="30"/>
      <c r="N2" s="30"/>
      <c r="O2" s="30" t="s">
        <v>234</v>
      </c>
      <c r="P2" s="47" t="s">
        <v>234</v>
      </c>
      <c r="Q2" s="37"/>
      <c r="R2" s="29" t="s">
        <v>234</v>
      </c>
    </row>
    <row r="3" spans="1:18" ht="55.2" x14ac:dyDescent="0.25">
      <c r="A3" s="16">
        <v>2</v>
      </c>
      <c r="B3" s="17" t="s">
        <v>242</v>
      </c>
      <c r="C3" s="28" t="s">
        <v>234</v>
      </c>
      <c r="D3" s="16" t="s">
        <v>234</v>
      </c>
      <c r="E3" s="16" t="s">
        <v>234</v>
      </c>
      <c r="F3" s="16" t="s">
        <v>234</v>
      </c>
      <c r="G3" s="16" t="s">
        <v>234</v>
      </c>
      <c r="H3" s="16" t="s">
        <v>234</v>
      </c>
      <c r="I3" s="16" t="s">
        <v>234</v>
      </c>
      <c r="J3" s="41" t="s">
        <v>234</v>
      </c>
      <c r="K3" s="16" t="s">
        <v>234</v>
      </c>
      <c r="L3" s="39" t="s">
        <v>234</v>
      </c>
      <c r="M3" s="41" t="s">
        <v>234</v>
      </c>
      <c r="N3" s="41" t="s">
        <v>234</v>
      </c>
      <c r="O3" s="16" t="s">
        <v>234</v>
      </c>
      <c r="P3" s="41" t="s">
        <v>234</v>
      </c>
      <c r="Q3" s="41" t="s">
        <v>234</v>
      </c>
      <c r="R3" s="27" t="s">
        <v>234</v>
      </c>
    </row>
    <row r="4" spans="1:18" ht="41.4" x14ac:dyDescent="0.25">
      <c r="A4" s="16">
        <v>3</v>
      </c>
      <c r="B4" s="17" t="s">
        <v>241</v>
      </c>
      <c r="C4" s="28" t="s">
        <v>234</v>
      </c>
      <c r="D4" s="16" t="s">
        <v>234</v>
      </c>
      <c r="E4" s="16" t="s">
        <v>234</v>
      </c>
      <c r="F4" s="16" t="s">
        <v>234</v>
      </c>
      <c r="G4" s="16" t="s">
        <v>234</v>
      </c>
      <c r="H4" s="16" t="s">
        <v>234</v>
      </c>
      <c r="I4" s="16" t="s">
        <v>234</v>
      </c>
      <c r="J4" s="41" t="s">
        <v>234</v>
      </c>
      <c r="K4" s="16" t="s">
        <v>234</v>
      </c>
      <c r="L4" s="39" t="s">
        <v>234</v>
      </c>
      <c r="M4" s="16" t="s">
        <v>234</v>
      </c>
      <c r="N4" s="16" t="s">
        <v>234</v>
      </c>
      <c r="O4" s="16" t="s">
        <v>234</v>
      </c>
      <c r="P4" s="16" t="s">
        <v>234</v>
      </c>
      <c r="Q4" s="16" t="s">
        <v>234</v>
      </c>
      <c r="R4" s="27" t="s">
        <v>234</v>
      </c>
    </row>
    <row r="5" spans="1:18" ht="96.6" x14ac:dyDescent="0.25">
      <c r="A5" s="16">
        <v>4</v>
      </c>
      <c r="B5" s="17" t="s">
        <v>240</v>
      </c>
      <c r="C5" s="28" t="s">
        <v>234</v>
      </c>
      <c r="D5" s="16" t="s">
        <v>234</v>
      </c>
      <c r="E5" s="16" t="s">
        <v>234</v>
      </c>
      <c r="F5" s="16" t="s">
        <v>234</v>
      </c>
      <c r="G5" s="16" t="s">
        <v>234</v>
      </c>
      <c r="H5" s="16" t="s">
        <v>234</v>
      </c>
      <c r="I5" s="16" t="s">
        <v>234</v>
      </c>
      <c r="J5" s="41" t="s">
        <v>234</v>
      </c>
      <c r="K5" s="41" t="s">
        <v>234</v>
      </c>
      <c r="L5" s="39" t="s">
        <v>234</v>
      </c>
      <c r="M5" s="41" t="s">
        <v>234</v>
      </c>
      <c r="N5" s="41" t="s">
        <v>234</v>
      </c>
      <c r="O5" s="16" t="s">
        <v>234</v>
      </c>
      <c r="P5" s="41" t="s">
        <v>234</v>
      </c>
      <c r="Q5" s="41" t="s">
        <v>234</v>
      </c>
      <c r="R5" s="27" t="s">
        <v>234</v>
      </c>
    </row>
    <row r="6" spans="1:18" ht="36" customHeight="1" x14ac:dyDescent="0.25">
      <c r="A6" s="16">
        <v>5</v>
      </c>
      <c r="B6" s="17" t="s">
        <v>239</v>
      </c>
      <c r="C6" s="28" t="s">
        <v>234</v>
      </c>
      <c r="D6" s="16" t="s">
        <v>234</v>
      </c>
      <c r="E6" s="16" t="s">
        <v>234</v>
      </c>
      <c r="F6" s="16" t="s">
        <v>234</v>
      </c>
      <c r="G6" s="16" t="s">
        <v>234</v>
      </c>
      <c r="H6" s="16" t="s">
        <v>234</v>
      </c>
      <c r="I6" s="16" t="s">
        <v>234</v>
      </c>
      <c r="J6" s="53" t="s">
        <v>234</v>
      </c>
      <c r="K6" s="44" t="s">
        <v>234</v>
      </c>
      <c r="L6" s="40" t="s">
        <v>234</v>
      </c>
      <c r="M6" s="36"/>
      <c r="N6" s="36"/>
      <c r="O6" s="34" t="s">
        <v>234</v>
      </c>
      <c r="P6" s="50" t="s">
        <v>234</v>
      </c>
      <c r="Q6" s="36"/>
      <c r="R6" s="35" t="s">
        <v>234</v>
      </c>
    </row>
    <row r="7" spans="1:18" ht="27.6" x14ac:dyDescent="0.25">
      <c r="A7" s="26">
        <v>6</v>
      </c>
      <c r="B7" s="25" t="s">
        <v>238</v>
      </c>
      <c r="C7" s="28" t="s">
        <v>234</v>
      </c>
      <c r="D7" s="16" t="s">
        <v>234</v>
      </c>
      <c r="E7" s="16" t="s">
        <v>234</v>
      </c>
      <c r="F7" s="16" t="s">
        <v>234</v>
      </c>
      <c r="G7" s="45" t="s">
        <v>234</v>
      </c>
      <c r="H7" s="16" t="s">
        <v>234</v>
      </c>
      <c r="I7" s="16" t="s">
        <v>234</v>
      </c>
      <c r="J7" s="51" t="s">
        <v>235</v>
      </c>
      <c r="K7" s="48" t="s">
        <v>234</v>
      </c>
      <c r="L7" s="16" t="s">
        <v>234</v>
      </c>
      <c r="O7" s="34" t="s">
        <v>234</v>
      </c>
      <c r="P7" s="51" t="s">
        <v>234</v>
      </c>
      <c r="R7" s="34" t="s">
        <v>234</v>
      </c>
    </row>
    <row r="8" spans="1:18" ht="27.6" x14ac:dyDescent="0.25">
      <c r="A8" s="16">
        <v>7</v>
      </c>
      <c r="B8" s="17" t="s">
        <v>237</v>
      </c>
      <c r="C8" s="28"/>
      <c r="R8" s="27"/>
    </row>
    <row r="9" spans="1:18" ht="27.6" x14ac:dyDescent="0.25">
      <c r="A9" s="23">
        <v>8</v>
      </c>
      <c r="B9" s="42" t="s">
        <v>236</v>
      </c>
      <c r="C9" s="24"/>
      <c r="D9" s="23"/>
      <c r="E9" s="23"/>
      <c r="F9" s="23"/>
      <c r="G9" s="23"/>
      <c r="H9" s="23"/>
      <c r="I9" s="23"/>
      <c r="J9" s="23"/>
      <c r="K9" s="23"/>
      <c r="L9" s="23"/>
      <c r="M9" s="23"/>
      <c r="N9" s="23"/>
      <c r="O9" s="23"/>
      <c r="P9" s="23"/>
      <c r="Q9" s="23"/>
      <c r="R9" s="22"/>
    </row>
    <row r="10" spans="1:18" x14ac:dyDescent="0.25">
      <c r="B10" s="17"/>
    </row>
    <row r="11" spans="1:18" x14ac:dyDescent="0.25">
      <c r="B11" s="17" t="s">
        <v>233</v>
      </c>
      <c r="C11" s="21">
        <f>2918</f>
        <v>2918</v>
      </c>
      <c r="D11" s="21">
        <f>784</f>
        <v>784</v>
      </c>
      <c r="E11" s="21">
        <f>491</f>
        <v>491</v>
      </c>
      <c r="F11" s="21">
        <f>471</f>
        <v>471</v>
      </c>
      <c r="G11" s="21">
        <f>235</f>
        <v>235</v>
      </c>
      <c r="H11" s="21">
        <f>6124</f>
        <v>6124</v>
      </c>
      <c r="I11" s="21">
        <f>746</f>
        <v>746</v>
      </c>
      <c r="J11" s="21">
        <f>707</f>
        <v>707</v>
      </c>
      <c r="K11" s="21">
        <f>253</f>
        <v>253</v>
      </c>
      <c r="L11" s="21">
        <f>251</f>
        <v>251</v>
      </c>
      <c r="M11" s="21">
        <f>233</f>
        <v>233</v>
      </c>
      <c r="N11" s="21">
        <f>227</f>
        <v>227</v>
      </c>
      <c r="O11" s="21">
        <f>191</f>
        <v>191</v>
      </c>
      <c r="P11" s="21">
        <f>96</f>
        <v>96</v>
      </c>
      <c r="Q11" s="21">
        <v>227</v>
      </c>
      <c r="R11" s="21">
        <v>1962</v>
      </c>
    </row>
    <row r="12" spans="1:18" x14ac:dyDescent="0.25">
      <c r="B12" s="17" t="s">
        <v>232</v>
      </c>
      <c r="C12" s="20">
        <f t="shared" ref="C12:R12" si="0">C11/SUM($C11:$R11)</f>
        <v>0.18333752199044986</v>
      </c>
      <c r="D12" s="20">
        <f t="shared" si="0"/>
        <v>4.9258607690374469E-2</v>
      </c>
      <c r="E12" s="20">
        <f t="shared" si="0"/>
        <v>3.0849459663231969E-2</v>
      </c>
      <c r="F12" s="20">
        <f t="shared" si="0"/>
        <v>2.9592862528273436E-2</v>
      </c>
      <c r="G12" s="20">
        <f t="shared" si="0"/>
        <v>1.4765016335762755E-2</v>
      </c>
      <c r="H12" s="20">
        <f t="shared" si="0"/>
        <v>0.3847700427243026</v>
      </c>
      <c r="I12" s="20">
        <f t="shared" si="0"/>
        <v>4.6871073133953257E-2</v>
      </c>
      <c r="J12" s="20">
        <f t="shared" si="0"/>
        <v>4.4420708720784116E-2</v>
      </c>
      <c r="K12" s="20">
        <f t="shared" si="0"/>
        <v>1.5895953757225433E-2</v>
      </c>
      <c r="L12" s="20">
        <f t="shared" si="0"/>
        <v>1.577029404372958E-2</v>
      </c>
      <c r="M12" s="20">
        <f t="shared" si="0"/>
        <v>1.46393566222669E-2</v>
      </c>
      <c r="N12" s="20">
        <f t="shared" si="0"/>
        <v>1.4262377481779342E-2</v>
      </c>
      <c r="O12" s="20">
        <f t="shared" si="0"/>
        <v>1.2000502638853983E-2</v>
      </c>
      <c r="P12" s="20">
        <f t="shared" si="0"/>
        <v>6.0316662478009549E-3</v>
      </c>
      <c r="Q12" s="20">
        <f t="shared" si="0"/>
        <v>1.4262377481779342E-2</v>
      </c>
      <c r="R12" s="20">
        <f t="shared" si="0"/>
        <v>0.12327217893943201</v>
      </c>
    </row>
    <row r="13" spans="1:18" x14ac:dyDescent="0.25">
      <c r="B13" s="49" t="s">
        <v>267</v>
      </c>
      <c r="C13" s="20">
        <f>COUNTA(C2:C7)/6*C12</f>
        <v>0.18333752199044986</v>
      </c>
      <c r="D13" s="20">
        <f t="shared" ref="D13:R13" si="1">COUNTA(D2:D7)/6*D12</f>
        <v>4.9258607690374469E-2</v>
      </c>
      <c r="E13" s="20">
        <f t="shared" si="1"/>
        <v>3.0849459663231969E-2</v>
      </c>
      <c r="F13" s="20">
        <f t="shared" si="1"/>
        <v>2.9592862528273436E-2</v>
      </c>
      <c r="G13" s="20">
        <f t="shared" si="1"/>
        <v>1.4765016335762755E-2</v>
      </c>
      <c r="H13" s="20">
        <f t="shared" si="1"/>
        <v>0.3847700427243026</v>
      </c>
      <c r="I13" s="20">
        <f t="shared" si="1"/>
        <v>4.6871073133953257E-2</v>
      </c>
      <c r="J13" s="20">
        <f t="shared" si="1"/>
        <v>4.4420708720784116E-2</v>
      </c>
      <c r="K13" s="20">
        <f t="shared" si="1"/>
        <v>1.5895953757225433E-2</v>
      </c>
      <c r="L13" s="20">
        <f t="shared" si="1"/>
        <v>1.577029404372958E-2</v>
      </c>
      <c r="M13" s="20">
        <f t="shared" si="1"/>
        <v>7.3196783111334502E-3</v>
      </c>
      <c r="N13" s="20">
        <f t="shared" si="1"/>
        <v>7.1311887408896709E-3</v>
      </c>
      <c r="O13" s="20">
        <f t="shared" si="1"/>
        <v>1.2000502638853983E-2</v>
      </c>
      <c r="P13" s="20">
        <f t="shared" si="1"/>
        <v>6.0316662478009549E-3</v>
      </c>
      <c r="Q13" s="20">
        <f t="shared" si="1"/>
        <v>7.1311887408896709E-3</v>
      </c>
      <c r="R13" s="20">
        <f t="shared" si="1"/>
        <v>0.12327217893943201</v>
      </c>
    </row>
    <row r="14" spans="1:18" x14ac:dyDescent="0.25">
      <c r="B14" s="17" t="s">
        <v>231</v>
      </c>
      <c r="C14" s="20">
        <f t="shared" ref="C14:R14" si="2">COUNTA(C2:C9)/8*C12</f>
        <v>0.13750314149283741</v>
      </c>
      <c r="D14" s="20">
        <f t="shared" si="2"/>
        <v>3.6943955767780853E-2</v>
      </c>
      <c r="E14" s="20">
        <f t="shared" si="2"/>
        <v>2.3137094747423977E-2</v>
      </c>
      <c r="F14" s="20">
        <f t="shared" si="2"/>
        <v>2.2194646896205077E-2</v>
      </c>
      <c r="G14" s="20">
        <f t="shared" si="2"/>
        <v>1.1073762251822066E-2</v>
      </c>
      <c r="H14" s="20">
        <f t="shared" si="2"/>
        <v>0.28857753204322695</v>
      </c>
      <c r="I14" s="20">
        <f t="shared" si="2"/>
        <v>3.5153304850464945E-2</v>
      </c>
      <c r="J14" s="20">
        <f t="shared" si="2"/>
        <v>3.3315531540588084E-2</v>
      </c>
      <c r="K14" s="20">
        <f t="shared" si="2"/>
        <v>1.1921965317919074E-2</v>
      </c>
      <c r="L14" s="20">
        <f t="shared" si="2"/>
        <v>1.1827720532797185E-2</v>
      </c>
      <c r="M14" s="20">
        <f t="shared" si="2"/>
        <v>5.4897587333500881E-3</v>
      </c>
      <c r="N14" s="20">
        <f t="shared" si="2"/>
        <v>5.3483915556672527E-3</v>
      </c>
      <c r="O14" s="20">
        <f t="shared" si="2"/>
        <v>9.0003769791404883E-3</v>
      </c>
      <c r="P14" s="20">
        <f t="shared" si="2"/>
        <v>4.5237496858507161E-3</v>
      </c>
      <c r="Q14" s="20">
        <f t="shared" si="2"/>
        <v>5.3483915556672527E-3</v>
      </c>
      <c r="R14" s="20">
        <f t="shared" si="2"/>
        <v>9.2454134204574018E-2</v>
      </c>
    </row>
    <row r="15" spans="1:18" x14ac:dyDescent="0.25">
      <c r="B15" s="49" t="s">
        <v>266</v>
      </c>
      <c r="C15" s="18">
        <f>SUM(C13:R13)</f>
        <v>0.97841794420708716</v>
      </c>
      <c r="D15" s="20"/>
      <c r="E15" s="20"/>
      <c r="F15" s="20"/>
      <c r="G15" s="20"/>
      <c r="H15" s="20"/>
      <c r="I15" s="20"/>
      <c r="J15" s="20"/>
      <c r="K15" s="20"/>
      <c r="L15" s="20"/>
      <c r="M15" s="20"/>
      <c r="N15" s="20"/>
      <c r="O15" s="20"/>
      <c r="P15" s="20"/>
      <c r="Q15" s="20"/>
      <c r="R15" s="20"/>
    </row>
    <row r="16" spans="1:18" x14ac:dyDescent="0.25">
      <c r="B16" s="19" t="s">
        <v>230</v>
      </c>
      <c r="C16" s="18">
        <f>SUM(C14:R14)</f>
        <v>0.73381345815531551</v>
      </c>
    </row>
    <row r="21" spans="19:23" x14ac:dyDescent="0.25">
      <c r="T21" s="46"/>
    </row>
    <row r="22" spans="19:23" x14ac:dyDescent="0.25">
      <c r="T22" s="46"/>
    </row>
    <row r="23" spans="19:23" x14ac:dyDescent="0.25">
      <c r="S23" s="46"/>
      <c r="T23" s="46"/>
      <c r="U23" s="46"/>
      <c r="V23" s="46"/>
      <c r="W23" s="46"/>
    </row>
    <row r="24" spans="19:23" x14ac:dyDescent="0.25">
      <c r="S24" s="46"/>
      <c r="T24" s="46"/>
      <c r="U24" s="46"/>
    </row>
    <row r="25" spans="19:23" x14ac:dyDescent="0.25">
      <c r="S25" s="46"/>
      <c r="T25" s="46"/>
      <c r="U25" s="46"/>
    </row>
    <row r="26" spans="19:23" x14ac:dyDescent="0.25">
      <c r="S26" s="46"/>
      <c r="T26" s="46"/>
      <c r="U26" s="46"/>
    </row>
    <row r="27" spans="19:23" x14ac:dyDescent="0.25">
      <c r="S27" s="46"/>
      <c r="T27" s="46"/>
      <c r="U27" s="46"/>
    </row>
    <row r="28" spans="19:23" x14ac:dyDescent="0.25">
      <c r="S28" s="46"/>
      <c r="T28" s="46"/>
      <c r="U28" s="46"/>
    </row>
    <row r="29" spans="19:23" x14ac:dyDescent="0.25">
      <c r="S29" s="46"/>
      <c r="T29" s="46"/>
      <c r="U29" s="46"/>
    </row>
    <row r="30" spans="19:23" x14ac:dyDescent="0.25">
      <c r="S30" s="46"/>
      <c r="T30" s="46"/>
      <c r="U30" s="46"/>
    </row>
    <row r="31" spans="19:23" x14ac:dyDescent="0.25">
      <c r="S31" s="46"/>
      <c r="T31" s="46"/>
      <c r="U31" s="46"/>
    </row>
  </sheetData>
  <conditionalFormatting sqref="C2:R10">
    <cfRule type="cellIs" dxfId="1" priority="1" operator="equal">
      <formula>"WIP"</formula>
    </cfRule>
    <cfRule type="cellIs" dxfId="0" priority="2" operator="equal">
      <formula>"Done"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feed_formulations</vt:lpstr>
      <vt:lpstr>feed_assignments</vt:lpstr>
      <vt:lpstr>progress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Tormey Reimer</cp:lastModifiedBy>
  <dcterms:modified xsi:type="dcterms:W3CDTF">2026-10-26T11:16:32Z</dcterms:modified>
</cp:coreProperties>
</file>