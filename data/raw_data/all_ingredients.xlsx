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climate_risks_to_fed_mariculture\data\raw_data\"/>
    </mc:Choice>
  </mc:AlternateContent>
  <xr:revisionPtr revIDLastSave="0" documentId="13_ncr:1_{B0160536-06D3-4C16-AF8C-A63E1AB01DD7}" xr6:coauthVersionLast="47" xr6:coauthVersionMax="47" xr10:uidLastSave="{00000000-0000-0000-0000-000000000000}"/>
  <bookViews>
    <workbookView xWindow="20544" yWindow="0" windowWidth="20832" windowHeight="16656" xr2:uid="{EACE1C46-B374-4940-8FA1-58EDCA6D9B2B}"/>
  </bookViews>
  <sheets>
    <sheet name="all_ingredients" sheetId="2" r:id="rId1"/>
    <sheet name="sources" sheetId="3" r:id="rId2"/>
    <sheet name="trash fish table" sheetId="4" r:id="rId3"/>
  </sheets>
  <definedNames>
    <definedName name="_xlnm._FilterDatabase" localSheetId="0" hidden="1">all_ingredients!$A$1:$S$55</definedName>
    <definedName name="_xlnm._FilterDatabase" localSheetId="1" hidden="1">sources!$A$1:$D$43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2" l="1"/>
  <c r="J55" i="2"/>
  <c r="J54" i="2"/>
  <c r="H54" i="2"/>
  <c r="J53" i="2"/>
  <c r="H53" i="2"/>
  <c r="P52" i="2"/>
  <c r="O52" i="2"/>
  <c r="J52" i="2"/>
  <c r="M51" i="2"/>
  <c r="L51" i="2"/>
  <c r="S51" i="2"/>
  <c r="R51" i="2"/>
  <c r="Q51" i="2"/>
  <c r="J51" i="2"/>
  <c r="H51" i="2"/>
  <c r="R50" i="2"/>
  <c r="S50" i="2" s="1"/>
  <c r="O50" i="2"/>
  <c r="P50" i="2" s="1"/>
  <c r="L50" i="2"/>
  <c r="M50" i="2" s="1"/>
  <c r="H50" i="2"/>
  <c r="J50" i="2" s="1"/>
  <c r="R20" i="2"/>
  <c r="S20" i="2" s="1"/>
  <c r="P20" i="2"/>
  <c r="O20" i="2"/>
  <c r="L20" i="2"/>
  <c r="M20" i="2" s="1"/>
  <c r="H20" i="2"/>
  <c r="J20" i="2" s="1"/>
  <c r="S25" i="2"/>
  <c r="R25" i="2"/>
  <c r="Q25" i="2"/>
  <c r="P25" i="2"/>
  <c r="O25" i="2"/>
  <c r="M25" i="2"/>
  <c r="L25" i="2"/>
  <c r="K25" i="2"/>
  <c r="I25" i="2"/>
  <c r="G25" i="2"/>
  <c r="F25" i="2"/>
  <c r="S46" i="2"/>
  <c r="R46" i="2"/>
  <c r="Q46" i="2"/>
  <c r="H46" i="2"/>
  <c r="I46" i="2"/>
  <c r="G46" i="2"/>
  <c r="F46" i="2"/>
  <c r="F2" i="4"/>
  <c r="I2" i="4" s="1"/>
  <c r="G2" i="4"/>
  <c r="H2" i="4"/>
  <c r="F3" i="4"/>
  <c r="I3" i="4" s="1"/>
  <c r="G3" i="4"/>
  <c r="H3" i="4"/>
  <c r="F4" i="4"/>
  <c r="I4" i="4" s="1"/>
  <c r="G4" i="4"/>
  <c r="H4" i="4"/>
  <c r="F5" i="4"/>
  <c r="I5" i="4" s="1"/>
  <c r="G5" i="4"/>
  <c r="H5" i="4"/>
  <c r="F6" i="4"/>
  <c r="I6" i="4" s="1"/>
  <c r="G6" i="4"/>
  <c r="H6" i="4"/>
  <c r="R10" i="2"/>
  <c r="S10" i="2" s="1"/>
  <c r="P10" i="2"/>
  <c r="O10" i="2"/>
  <c r="L10" i="2"/>
  <c r="M10" i="2" s="1"/>
  <c r="J10" i="2"/>
  <c r="R33" i="2"/>
  <c r="S33" i="2" s="1"/>
  <c r="P33" i="2"/>
  <c r="O33" i="2"/>
  <c r="L33" i="2"/>
  <c r="M33" i="2" s="1"/>
  <c r="J33" i="2"/>
  <c r="R34" i="2"/>
  <c r="S34" i="2" s="1"/>
  <c r="P34" i="2"/>
  <c r="O34" i="2"/>
  <c r="L34" i="2"/>
  <c r="M34" i="2" s="1"/>
  <c r="J34" i="2"/>
  <c r="R49" i="2"/>
  <c r="S49" i="2" s="1"/>
  <c r="P49" i="2"/>
  <c r="O49" i="2"/>
  <c r="L49" i="2"/>
  <c r="M49" i="2" s="1"/>
  <c r="J49" i="2"/>
  <c r="R45" i="2"/>
  <c r="S45" i="2" s="1"/>
  <c r="P45" i="2"/>
  <c r="O45" i="2"/>
  <c r="L45" i="2"/>
  <c r="M45" i="2" s="1"/>
  <c r="J45" i="2"/>
  <c r="R44" i="2"/>
  <c r="S44" i="2" s="1"/>
  <c r="P44" i="2"/>
  <c r="O44" i="2"/>
  <c r="L44" i="2"/>
  <c r="M44" i="2" s="1"/>
  <c r="J44" i="2"/>
  <c r="R43" i="2"/>
  <c r="S43" i="2" s="1"/>
  <c r="P43" i="2"/>
  <c r="O43" i="2"/>
  <c r="L43" i="2"/>
  <c r="M43" i="2" s="1"/>
  <c r="J43" i="2"/>
  <c r="R42" i="2"/>
  <c r="S42" i="2" s="1"/>
  <c r="P42" i="2"/>
  <c r="O42" i="2"/>
  <c r="L42" i="2"/>
  <c r="M42" i="2" s="1"/>
  <c r="H42" i="2"/>
  <c r="J42" i="2" s="1"/>
  <c r="R31" i="2"/>
  <c r="S31" i="2" s="1"/>
  <c r="P31" i="2"/>
  <c r="O31" i="2"/>
  <c r="L31" i="2"/>
  <c r="M31" i="2" s="1"/>
  <c r="J31" i="2"/>
  <c r="R24" i="2"/>
  <c r="S24" i="2" s="1"/>
  <c r="P24" i="2"/>
  <c r="O24" i="2"/>
  <c r="L24" i="2"/>
  <c r="M24" i="2" s="1"/>
  <c r="J24" i="2"/>
  <c r="R19" i="2"/>
  <c r="S19" i="2" s="1"/>
  <c r="P19" i="2"/>
  <c r="O19" i="2"/>
  <c r="L19" i="2"/>
  <c r="M19" i="2" s="1"/>
  <c r="J19" i="2"/>
  <c r="R11" i="2"/>
  <c r="S11" i="2" s="1"/>
  <c r="P11" i="2"/>
  <c r="O11" i="2"/>
  <c r="L11" i="2"/>
  <c r="M11" i="2" s="1"/>
  <c r="H11" i="2"/>
  <c r="J11" i="2" s="1"/>
  <c r="R8" i="2"/>
  <c r="S8" i="2" s="1"/>
  <c r="P8" i="2"/>
  <c r="O8" i="2"/>
  <c r="L8" i="2"/>
  <c r="M8" i="2" s="1"/>
  <c r="H8" i="2"/>
  <c r="J8" i="2" s="1"/>
  <c r="R7" i="2"/>
  <c r="S7" i="2" s="1"/>
  <c r="P7" i="2"/>
  <c r="O7" i="2"/>
  <c r="L7" i="2"/>
  <c r="M7" i="2" s="1"/>
  <c r="J7" i="2"/>
  <c r="R9" i="2"/>
  <c r="S9" i="2" s="1"/>
  <c r="P9" i="2"/>
  <c r="O9" i="2"/>
  <c r="L9" i="2"/>
  <c r="M9" i="2" s="1"/>
  <c r="H9" i="2"/>
  <c r="J9" i="2" s="1"/>
  <c r="J17" i="2"/>
  <c r="S40" i="2"/>
  <c r="P40" i="2"/>
  <c r="O40" i="2"/>
  <c r="J40" i="2"/>
  <c r="R22" i="2"/>
  <c r="S22" i="2" s="1"/>
  <c r="H22" i="2"/>
  <c r="J22" i="2" s="1"/>
  <c r="J46" i="2" l="1"/>
  <c r="H25" i="2"/>
  <c r="J25" i="2" s="1"/>
  <c r="L18" i="2"/>
  <c r="M18" i="2" s="1"/>
  <c r="H4" i="2"/>
  <c r="J4" i="2" s="1"/>
  <c r="R36" i="2"/>
  <c r="S36" i="2" s="1"/>
  <c r="R29" i="2"/>
  <c r="S29" i="2" s="1"/>
  <c r="R16" i="2"/>
  <c r="S16" i="2" s="1"/>
  <c r="R18" i="2"/>
  <c r="S18" i="2" s="1"/>
  <c r="R21" i="2"/>
  <c r="S21" i="2" s="1"/>
  <c r="R12" i="2"/>
  <c r="S12" i="2" s="1"/>
  <c r="R3" i="2"/>
  <c r="S3" i="2" s="1"/>
  <c r="R4" i="2"/>
  <c r="S4" i="2" s="1"/>
  <c r="R5" i="2"/>
  <c r="S5" i="2" s="1"/>
  <c r="P48" i="2"/>
  <c r="P47" i="2"/>
  <c r="P41" i="2"/>
  <c r="P32" i="2"/>
  <c r="P29" i="2"/>
  <c r="P26" i="2"/>
  <c r="P21" i="2"/>
  <c r="P18" i="2"/>
  <c r="P3" i="2"/>
  <c r="P6" i="2"/>
  <c r="P2" i="2"/>
  <c r="I48" i="2"/>
  <c r="G48" i="2"/>
  <c r="F48" i="2"/>
  <c r="H47" i="2"/>
  <c r="G41" i="2"/>
  <c r="H41" i="2" s="1"/>
  <c r="H39" i="2"/>
  <c r="H38" i="2"/>
  <c r="G37" i="2"/>
  <c r="F37" i="2"/>
  <c r="G35" i="2"/>
  <c r="H35" i="2" s="1"/>
  <c r="H30" i="2"/>
  <c r="H28" i="2"/>
  <c r="G27" i="2"/>
  <c r="H27" i="2" s="1"/>
  <c r="I26" i="2"/>
  <c r="G26" i="2"/>
  <c r="F26" i="2"/>
  <c r="I23" i="2"/>
  <c r="G23" i="2"/>
  <c r="H23" i="2" s="1"/>
  <c r="H21" i="2"/>
  <c r="J3" i="2"/>
  <c r="J6" i="2"/>
  <c r="J15" i="2"/>
  <c r="J16" i="2"/>
  <c r="J18" i="2"/>
  <c r="J29" i="2"/>
  <c r="J32" i="2"/>
  <c r="J36" i="2"/>
  <c r="J2" i="2"/>
  <c r="I14" i="2"/>
  <c r="H14" i="2"/>
  <c r="J14" i="2" s="1"/>
  <c r="I13" i="2"/>
  <c r="H13" i="2"/>
  <c r="J13" i="2" s="1"/>
  <c r="I12" i="2"/>
  <c r="G12" i="2"/>
  <c r="H12" i="2" s="1"/>
  <c r="J12" i="2" s="1"/>
  <c r="H5" i="2"/>
  <c r="J5" i="2" s="1"/>
  <c r="O48" i="2"/>
  <c r="O47" i="2"/>
  <c r="O41" i="2"/>
  <c r="O32" i="2"/>
  <c r="O26" i="2"/>
  <c r="O21" i="2"/>
  <c r="O18" i="2"/>
  <c r="O6" i="2"/>
  <c r="O2" i="2"/>
  <c r="L48" i="2"/>
  <c r="M48" i="2" s="1"/>
  <c r="L47" i="2"/>
  <c r="M47" i="2" s="1"/>
  <c r="L32" i="2"/>
  <c r="M32" i="2" s="1"/>
  <c r="L21" i="2"/>
  <c r="M21" i="2" s="1"/>
  <c r="O29" i="2"/>
  <c r="O3" i="2"/>
  <c r="R2" i="2"/>
  <c r="S2" i="2" s="1"/>
  <c r="R28" i="2"/>
  <c r="S28" i="2" s="1"/>
  <c r="R30" i="2"/>
  <c r="S30" i="2" s="1"/>
  <c r="R27" i="2"/>
  <c r="S27" i="2" s="1"/>
  <c r="R35" i="2"/>
  <c r="S35" i="2" s="1"/>
  <c r="R41" i="2"/>
  <c r="S41" i="2" s="1"/>
  <c r="R37" i="2"/>
  <c r="S37" i="2" s="1"/>
  <c r="R39" i="2"/>
  <c r="S39" i="2" s="1"/>
  <c r="R38" i="2"/>
  <c r="S38" i="2" s="1"/>
  <c r="R32" i="2"/>
  <c r="S32" i="2" s="1"/>
  <c r="R47" i="2"/>
  <c r="S47" i="2" s="1"/>
  <c r="R48" i="2"/>
  <c r="S48" i="2" s="1"/>
  <c r="R6" i="2"/>
  <c r="S6" i="2" s="1"/>
  <c r="R15" i="2"/>
  <c r="S15" i="2" s="1"/>
  <c r="L2" i="2"/>
  <c r="M2" i="2" s="1"/>
  <c r="L6" i="2"/>
  <c r="M6" i="2" s="1"/>
  <c r="L15" i="2"/>
  <c r="M15" i="2" s="1"/>
  <c r="L16" i="2"/>
  <c r="M16" i="2" s="1"/>
  <c r="L36" i="2"/>
  <c r="M36" i="2" s="1"/>
  <c r="S14" i="2"/>
  <c r="R14" i="2"/>
  <c r="Q14" i="2"/>
  <c r="S13" i="2"/>
  <c r="R13" i="2"/>
  <c r="Q13" i="2"/>
  <c r="S23" i="2"/>
  <c r="R23" i="2"/>
  <c r="S26" i="2"/>
  <c r="R26" i="2"/>
  <c r="Q26" i="2"/>
  <c r="L26" i="2"/>
  <c r="M26" i="2"/>
  <c r="K26" i="2"/>
  <c r="H26" i="2" l="1"/>
  <c r="J26" i="2" s="1"/>
  <c r="H37" i="2"/>
  <c r="J37" i="2" s="1"/>
  <c r="H48" i="2"/>
  <c r="J39" i="2"/>
  <c r="J47" i="2"/>
  <c r="J28" i="2"/>
  <c r="J27" i="2"/>
  <c r="J21" i="2"/>
  <c r="J38" i="2"/>
  <c r="J23" i="2"/>
  <c r="J35" i="2"/>
  <c r="J30" i="2"/>
  <c r="J41" i="2"/>
  <c r="J48" i="2"/>
</calcChain>
</file>

<file path=xl/sharedStrings.xml><?xml version="1.0" encoding="utf-8"?>
<sst xmlns="http://schemas.openxmlformats.org/spreadsheetml/2006/main" count="411" uniqueCount="127">
  <si>
    <t>ingredient</t>
  </si>
  <si>
    <t>bsf-meal</t>
  </si>
  <si>
    <t>canola-meal</t>
  </si>
  <si>
    <t>canola-oil</t>
  </si>
  <si>
    <t>coconut-oil</t>
  </si>
  <si>
    <t>corn-gluten</t>
  </si>
  <si>
    <t>faba-beans</t>
  </si>
  <si>
    <t>feather-meal</t>
  </si>
  <si>
    <t>fishmeal-forage</t>
  </si>
  <si>
    <t>fishmeal-trimmings</t>
  </si>
  <si>
    <t>fish-oil-forage</t>
  </si>
  <si>
    <t>fish-oil-trimmings</t>
  </si>
  <si>
    <t>guar-meal</t>
  </si>
  <si>
    <t>guar-meal-high-protein</t>
  </si>
  <si>
    <t>krill-meal</t>
  </si>
  <si>
    <t>linseed-oil</t>
  </si>
  <si>
    <t>meat-bone-meal</t>
  </si>
  <si>
    <t>microingredients</t>
  </si>
  <si>
    <t>ovine-meal</t>
  </si>
  <si>
    <t>pea-flour</t>
  </si>
  <si>
    <t>pea-protein-concentrate</t>
  </si>
  <si>
    <t>poultry-meal</t>
  </si>
  <si>
    <t>rapeseed-oil</t>
  </si>
  <si>
    <t>single-cell-protein</t>
  </si>
  <si>
    <t>soybean-meal</t>
  </si>
  <si>
    <t>soybean-oil</t>
  </si>
  <si>
    <t>soy-protein-concentrate</t>
  </si>
  <si>
    <t>spirulina-meal</t>
  </si>
  <si>
    <t>sunflower-meal</t>
  </si>
  <si>
    <t>sunflower-meal-high-protein</t>
  </si>
  <si>
    <t>tapioca</t>
  </si>
  <si>
    <t>wheat</t>
  </si>
  <si>
    <t>wheat-gluten</t>
  </si>
  <si>
    <t>yeast-meal</t>
  </si>
  <si>
    <t>min_protein_digestibility</t>
  </si>
  <si>
    <t>max_protein_digestibility</t>
  </si>
  <si>
    <t>min_lipid_digestibility</t>
  </si>
  <si>
    <t>max_lipid_digestibility</t>
  </si>
  <si>
    <t>min_carb_digestibility</t>
  </si>
  <si>
    <t>max_carb_digestibility</t>
  </si>
  <si>
    <t>mean_protein_digestibility</t>
  </si>
  <si>
    <t>mean_lipid_digestibility</t>
  </si>
  <si>
    <t>mean_carb_digestibility</t>
  </si>
  <si>
    <t>protein</t>
  </si>
  <si>
    <t>lipid</t>
  </si>
  <si>
    <t>ash</t>
  </si>
  <si>
    <t>carb</t>
  </si>
  <si>
    <t>algal-oil</t>
  </si>
  <si>
    <t>amino-acids</t>
  </si>
  <si>
    <t>hemoglobin-powder</t>
  </si>
  <si>
    <t>lupine-meal-dehulled</t>
  </si>
  <si>
    <t>poultry-oil</t>
  </si>
  <si>
    <t>poultry-protein-concentrate</t>
  </si>
  <si>
    <t>Cassava roots | Feedipedia</t>
  </si>
  <si>
    <t>Sunflower meal, solvent-extracted, dehulled and partially dehulled | Feedipedia</t>
  </si>
  <si>
    <t>Sunflower meal, solvent-extracted, dehulled or non-dehulled | Feedipedia</t>
  </si>
  <si>
    <t>Microalgae | Feedipedia</t>
  </si>
  <si>
    <t>Digestibility values?</t>
  </si>
  <si>
    <t>Soybean meal, high protein, type 50 and similar | Feedipedia</t>
  </si>
  <si>
    <t>Blood meal | Feedipedia</t>
  </si>
  <si>
    <t>NA</t>
  </si>
  <si>
    <t>Values for Lupinus albus and L. angustifolius (content and digestibility) from Salini &amp; Adams (2014)</t>
  </si>
  <si>
    <t>Crude values for Antarctic krill (Olsen et al., 2006), AD values from PDKM (Hansen et al., 2010)</t>
  </si>
  <si>
    <t>https://www.feedipedia.org/node/11685</t>
  </si>
  <si>
    <t>Fish meal, 60-68% protein as fed | Feedipedia</t>
  </si>
  <si>
    <t>All grey-highlighted cells are placeholder values</t>
  </si>
  <si>
    <t>meat-meal</t>
  </si>
  <si>
    <t>in_use</t>
  </si>
  <si>
    <t>T</t>
  </si>
  <si>
    <t>F</t>
  </si>
  <si>
    <t>Proximate composition and digestibility from https://www.sciencedirect.com/science/article/pii/S0044848621007961</t>
  </si>
  <si>
    <t>type</t>
  </si>
  <si>
    <t>novel</t>
  </si>
  <si>
    <t>plant</t>
  </si>
  <si>
    <t>marine</t>
  </si>
  <si>
    <t>animal</t>
  </si>
  <si>
    <t>SUM CHECK</t>
  </si>
  <si>
    <t>in use</t>
  </si>
  <si>
    <t>to get</t>
  </si>
  <si>
    <t>source</t>
  </si>
  <si>
    <t>Protein from Louise, lipid and ash concentrations from https://www.sciencedirect.com/science/article/pii/S0044848619316102</t>
  </si>
  <si>
    <t>Nutritive values from https://www.feedipedia.org/node/11697, carb digestibility from pigs (https://www.feedipedia.org/node/311)</t>
  </si>
  <si>
    <t>Lipid digestibility from https://www.sciencedirect.com/science/article/pii/S004484862200850X</t>
  </si>
  <si>
    <t>Digestibility from https://www.sciencedirect.com/science/article/pii/S0044848609005055</t>
  </si>
  <si>
    <t>Lipid digestibility from https://www.sciencedirect.com/science/article/pii/S0044848609005055</t>
  </si>
  <si>
    <t>Lipid digestibility from https://www.veramaris.com/scientific-publications-detail/algal-oil-improves-control-of-long-chain-omega-3-levels-in-atlantic-salmon-without-detriment-to-zootechnical-performance-and-sensory-characteristics</t>
  </si>
  <si>
    <t>in_MS</t>
  </si>
  <si>
    <t>exp_data</t>
  </si>
  <si>
    <t>lupin-meal-dehulled</t>
  </si>
  <si>
    <t>insect-meal</t>
  </si>
  <si>
    <t>All yellow-highlighted cells are taken from Louise's results</t>
  </si>
  <si>
    <t>aa-yellow-highlight</t>
  </si>
  <si>
    <t>aa-grey-highlight</t>
  </si>
  <si>
    <t>guar-gum</t>
  </si>
  <si>
    <t>corn-gluten-meal</t>
  </si>
  <si>
    <t>peas-whole</t>
  </si>
  <si>
    <t>pea-starch</t>
  </si>
  <si>
    <t>corn-protein-concentrate</t>
  </si>
  <si>
    <t>These species values were obtained from Thanh et al 2015 Assessment of the Trash fish diet for Snakehead Aquaculture in Vietnam: species composition and chemical characterisation. Asian Fisheries Science 28 (2015):165-173</t>
  </si>
  <si>
    <t>esomus metallicus</t>
  </si>
  <si>
    <t>mystus mysticestus</t>
  </si>
  <si>
    <t>anabas testudineous</t>
  </si>
  <si>
    <t>trichogaster microlepis</t>
  </si>
  <si>
    <t>corynchus lobatus</t>
  </si>
  <si>
    <t>carb_dm</t>
  </si>
  <si>
    <t>ash_dm</t>
  </si>
  <si>
    <t>lipid_dm</t>
  </si>
  <si>
    <t>protein_dm</t>
  </si>
  <si>
    <t>ash_wet</t>
  </si>
  <si>
    <t>lipid_wet</t>
  </si>
  <si>
    <t>protein_wet</t>
  </si>
  <si>
    <t>moisture</t>
  </si>
  <si>
    <t>species</t>
  </si>
  <si>
    <t>trash-fish</t>
  </si>
  <si>
    <t>lupin-seed</t>
  </si>
  <si>
    <t>poultry-blood-meal</t>
  </si>
  <si>
    <t>peanut-meal</t>
  </si>
  <si>
    <t>Composition and protein digestibility from feedipedia (https://www.feedipedia.org/node/699). Carb digestibility from https://onlinelibrary.wiley.com/doi/epdf/10.1111/j.1749-7345.2004.tb01069.x</t>
  </si>
  <si>
    <t>squid-meal</t>
  </si>
  <si>
    <t>cod-liver-oil</t>
  </si>
  <si>
    <t>rice-bran</t>
  </si>
  <si>
    <t>wheat-bran</t>
  </si>
  <si>
    <t>copra-meal</t>
  </si>
  <si>
    <t>Digestibility values taken from fishmeal-trimmings, except for protein which came from https://web.archive.org/web/20250422235548/https://www.fao.org/fileadmin/user_upload/affris/docs/Gilthead_Seabream/English/table_10.htm</t>
  </si>
  <si>
    <t>Copra meal and coconut by-products | Feedipedia</t>
  </si>
  <si>
    <t>Rice bran and other rice by-products | Feedipedia</t>
  </si>
  <si>
    <t>Wheat bran | Feedipedia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</si>
</sst>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19">
    <xf numFmtId="0" fontId="0" fillId="0" borderId="0" xfId="0"/>
    <xf numFmtId="0" fontId="18" fillId="0" borderId="0" xfId="42"/>
    <xf numFmtId="0" fontId="0" fillId="0" borderId="0" xfId="0" applyAlignment="1">
      <alignment wrapText="1"/>
    </xf>
    <xf numFmtId="0" fontId="0" fillId="33" borderId="0" xfId="0" applyFill="1"/>
    <xf numFmtId="0" fontId="0" fillId="34" borderId="0" xfId="0" applyFill="1"/>
    <xf numFmtId="164" fontId="0" fillId="0" borderId="0" xfId="43" applyNumberFormat="1" applyFont="1"/>
    <xf numFmtId="164" fontId="0" fillId="33" borderId="0" xfId="43" applyNumberFormat="1" applyFont="1" applyFill="1"/>
    <xf numFmtId="164" fontId="0" fillId="35" borderId="0" xfId="43" applyNumberFormat="1" applyFont="1" applyFill="1"/>
    <xf numFmtId="164" fontId="0" fillId="0" borderId="0" xfId="43" applyNumberFormat="1" applyFont="1" applyFill="1"/>
    <xf numFmtId="164" fontId="0" fillId="0" borderId="0" xfId="0" applyNumberFormat="1"/>
    <xf numFmtId="164" fontId="0" fillId="34" borderId="0" xfId="43" applyNumberFormat="1" applyFont="1" applyFill="1"/>
    <xf numFmtId="164" fontId="0" fillId="36" borderId="0" xfId="43" applyNumberFormat="1" applyFont="1" applyFill="1"/>
    <xf numFmtId="164" fontId="0" fillId="36" borderId="0" xfId="0" applyNumberFormat="1" applyFill="1"/>
    <xf numFmtId="0" fontId="19" fillId="0" borderId="0" xfId="44"/>
    <xf numFmtId="165" fontId="20" fillId="0" borderId="0" xfId="44" applyNumberFormat="1" applyFont="1"/>
    <xf numFmtId="0" fontId="20" fillId="0" borderId="0" xfId="44" applyFont="1"/>
    <xf numFmtId="9" fontId="0" fillId="0" borderId="0" xfId="0" applyNumberFormat="1"/>
    <xf numFmtId="0" fontId="20" fillId="0" borderId="0" xfId="0" applyFont="1"/>
    <xf numFmtId="10" fontId="0" fillId="0" borderId="0" xfId="0" applyNumberFormat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5EA43BB0-B667-4622-8F59-19884995D530}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11687" TargetMode="External"/><Relationship Id="rId3" Type="http://schemas.openxmlformats.org/officeDocument/2006/relationships/hyperlink" Target="https://www.feedipedia.org/node/12663" TargetMode="External"/><Relationship Id="rId7" Type="http://schemas.openxmlformats.org/officeDocument/2006/relationships/hyperlink" Target="https://www.feedipedia.org/node/11685" TargetMode="External"/><Relationship Id="rId2" Type="http://schemas.openxmlformats.org/officeDocument/2006/relationships/hyperlink" Target="https://www.feedipedia.org/node/12806" TargetMode="External"/><Relationship Id="rId1" Type="http://schemas.openxmlformats.org/officeDocument/2006/relationships/hyperlink" Target="https://www.feedipedia.org/node/527" TargetMode="External"/><Relationship Id="rId6" Type="http://schemas.openxmlformats.org/officeDocument/2006/relationships/hyperlink" Target="https://www.feedipedia.org/node/11574" TargetMode="External"/><Relationship Id="rId11" Type="http://schemas.openxmlformats.org/officeDocument/2006/relationships/hyperlink" Target="https://www.feedipedia.org/node/726" TargetMode="External"/><Relationship Id="rId5" Type="http://schemas.openxmlformats.org/officeDocument/2006/relationships/hyperlink" Target="https://www.feedipedia.org/node/11683" TargetMode="External"/><Relationship Id="rId10" Type="http://schemas.openxmlformats.org/officeDocument/2006/relationships/hyperlink" Target="https://www.feedipedia.org/node/750" TargetMode="External"/><Relationship Id="rId4" Type="http://schemas.openxmlformats.org/officeDocument/2006/relationships/hyperlink" Target="https://www.feedipedia.org/node/67" TargetMode="External"/><Relationship Id="rId9" Type="http://schemas.openxmlformats.org/officeDocument/2006/relationships/hyperlink" Target="https://www.feedipedia.org/node/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6C80-6855-4296-9746-1E92B0D65FFA}">
  <dimension ref="A1:S55"/>
  <sheetViews>
    <sheetView tabSelected="1" zoomScaleNormal="100" workbookViewId="0">
      <pane ySplit="1" topLeftCell="A2" activePane="bottomLeft" state="frozen"/>
      <selection pane="bottomLeft" activeCell="I16" sqref="I16"/>
    </sheetView>
  </sheetViews>
  <sheetFormatPr defaultRowHeight="14.4" x14ac:dyDescent="0.3"/>
  <cols>
    <col min="1" max="1" width="24.21875" bestFit="1" customWidth="1"/>
    <col min="2" max="2" width="6.6640625" bestFit="1" customWidth="1"/>
    <col min="3" max="3" width="8.33203125" hidden="1" customWidth="1"/>
    <col min="4" max="4" width="19.6640625" hidden="1" customWidth="1"/>
    <col min="5" max="5" width="10.33203125" hidden="1" customWidth="1"/>
    <col min="6" max="9" width="12" bestFit="1" customWidth="1"/>
    <col min="10" max="10" width="13" bestFit="1" customWidth="1"/>
    <col min="11" max="19" width="12.88671875" customWidth="1"/>
  </cols>
  <sheetData>
    <row r="1" spans="1:19" s="2" customFormat="1" ht="28.8" x14ac:dyDescent="0.3">
      <c r="A1" s="2" t="s">
        <v>0</v>
      </c>
      <c r="B1" s="2" t="s">
        <v>71</v>
      </c>
      <c r="C1" s="2" t="s">
        <v>67</v>
      </c>
      <c r="D1" s="2" t="s">
        <v>86</v>
      </c>
      <c r="E1" s="2" t="s">
        <v>87</v>
      </c>
      <c r="F1" s="2" t="s">
        <v>43</v>
      </c>
      <c r="G1" s="2" t="s">
        <v>44</v>
      </c>
      <c r="H1" s="2" t="s">
        <v>46</v>
      </c>
      <c r="I1" s="2" t="s">
        <v>45</v>
      </c>
      <c r="J1" s="2" t="s">
        <v>76</v>
      </c>
      <c r="K1" s="2" t="s">
        <v>40</v>
      </c>
      <c r="L1" s="2" t="s">
        <v>34</v>
      </c>
      <c r="M1" s="2" t="s">
        <v>35</v>
      </c>
      <c r="N1" s="2" t="s">
        <v>41</v>
      </c>
      <c r="O1" s="2" t="s">
        <v>36</v>
      </c>
      <c r="P1" s="2" t="s">
        <v>37</v>
      </c>
      <c r="Q1" s="2" t="s">
        <v>42</v>
      </c>
      <c r="R1" s="2" t="s">
        <v>38</v>
      </c>
      <c r="S1" s="2" t="s">
        <v>39</v>
      </c>
    </row>
    <row r="2" spans="1:19" x14ac:dyDescent="0.3">
      <c r="A2" t="s">
        <v>47</v>
      </c>
      <c r="B2" t="s">
        <v>72</v>
      </c>
      <c r="C2" t="s">
        <v>68</v>
      </c>
      <c r="D2" t="s">
        <v>68</v>
      </c>
      <c r="E2" t="s">
        <v>69</v>
      </c>
      <c r="F2" s="5">
        <v>0</v>
      </c>
      <c r="G2" s="5">
        <v>1</v>
      </c>
      <c r="H2" s="5">
        <v>0</v>
      </c>
      <c r="I2" s="5">
        <v>0</v>
      </c>
      <c r="J2" s="9">
        <f t="shared" ref="J2:J55" si="0">SUM(F2:I2)</f>
        <v>1</v>
      </c>
      <c r="K2" s="5">
        <v>0</v>
      </c>
      <c r="L2" s="5">
        <f>K2*0.95</f>
        <v>0</v>
      </c>
      <c r="M2" s="5">
        <f>L2*1.05</f>
        <v>0</v>
      </c>
      <c r="N2" s="5">
        <v>0.95176181599999998</v>
      </c>
      <c r="O2" s="5">
        <f>N2*0.95</f>
        <v>0.90417372519999994</v>
      </c>
      <c r="P2" s="5">
        <f>N2*1.05</f>
        <v>0.99934990680000002</v>
      </c>
      <c r="Q2" s="5">
        <v>0</v>
      </c>
      <c r="R2" s="7">
        <f t="shared" ref="R2:R12" si="1">Q2*0.95</f>
        <v>0</v>
      </c>
      <c r="S2" s="7">
        <f t="shared" ref="S2:S12" si="2">R2*1.05</f>
        <v>0</v>
      </c>
    </row>
    <row r="3" spans="1:19" x14ac:dyDescent="0.3">
      <c r="A3" t="s">
        <v>48</v>
      </c>
      <c r="C3" t="s">
        <v>68</v>
      </c>
      <c r="D3" t="s">
        <v>68</v>
      </c>
      <c r="E3" t="s">
        <v>69</v>
      </c>
      <c r="F3" s="5">
        <v>0</v>
      </c>
      <c r="G3" s="5">
        <v>0</v>
      </c>
      <c r="H3" s="5">
        <v>0</v>
      </c>
      <c r="I3" s="5">
        <v>1</v>
      </c>
      <c r="J3" s="9">
        <f t="shared" si="0"/>
        <v>1</v>
      </c>
      <c r="K3" s="5">
        <v>0</v>
      </c>
      <c r="L3" s="5">
        <v>0</v>
      </c>
      <c r="M3" s="5">
        <v>0</v>
      </c>
      <c r="N3" s="5">
        <v>0</v>
      </c>
      <c r="O3" s="5">
        <f>N3*0.95</f>
        <v>0</v>
      </c>
      <c r="P3" s="5">
        <f>N3*1.05</f>
        <v>0</v>
      </c>
      <c r="Q3" s="5">
        <v>0</v>
      </c>
      <c r="R3" s="7">
        <f t="shared" si="1"/>
        <v>0</v>
      </c>
      <c r="S3" s="7">
        <f t="shared" si="2"/>
        <v>0</v>
      </c>
    </row>
    <row r="4" spans="1:19" x14ac:dyDescent="0.3">
      <c r="A4" t="s">
        <v>1</v>
      </c>
      <c r="B4" t="s">
        <v>72</v>
      </c>
      <c r="C4" t="s">
        <v>69</v>
      </c>
      <c r="D4" t="s">
        <v>68</v>
      </c>
      <c r="E4" t="s">
        <v>68</v>
      </c>
      <c r="F4" s="6">
        <v>0.53500000000000003</v>
      </c>
      <c r="G4" s="6">
        <v>0.224</v>
      </c>
      <c r="H4" s="7">
        <f>1-SUM(F4:G4,I4)</f>
        <v>0.11099999999999999</v>
      </c>
      <c r="I4" s="5">
        <v>0.13</v>
      </c>
      <c r="J4" s="9">
        <f t="shared" si="0"/>
        <v>1</v>
      </c>
      <c r="K4" s="6">
        <v>0.81859999999999999</v>
      </c>
      <c r="L4" s="6">
        <v>0.71939999999999993</v>
      </c>
      <c r="M4" s="6">
        <v>0.88099999999999989</v>
      </c>
      <c r="N4" s="6">
        <v>0.95640000000000003</v>
      </c>
      <c r="O4" s="6">
        <v>0.9466</v>
      </c>
      <c r="P4" s="6">
        <v>0.96530000000000005</v>
      </c>
      <c r="Q4" s="5">
        <v>0.41000000000000003</v>
      </c>
      <c r="R4" s="7">
        <f t="shared" si="1"/>
        <v>0.38950000000000001</v>
      </c>
      <c r="S4" s="7">
        <f t="shared" si="2"/>
        <v>0.40897500000000003</v>
      </c>
    </row>
    <row r="5" spans="1:19" x14ac:dyDescent="0.3">
      <c r="A5" t="s">
        <v>2</v>
      </c>
      <c r="B5" t="s">
        <v>73</v>
      </c>
      <c r="C5" t="s">
        <v>69</v>
      </c>
      <c r="D5" t="s">
        <v>68</v>
      </c>
      <c r="E5" t="s">
        <v>68</v>
      </c>
      <c r="F5" s="6">
        <v>0.32700000000000001</v>
      </c>
      <c r="G5" s="6">
        <v>0.13</v>
      </c>
      <c r="H5" s="7">
        <f>1-SUM(F5:G5,I5)</f>
        <v>0.46672719298245613</v>
      </c>
      <c r="I5" s="8">
        <v>7.6272807017543895E-2</v>
      </c>
      <c r="J5" s="9">
        <f t="shared" si="0"/>
        <v>1</v>
      </c>
      <c r="K5" s="6">
        <v>0.91110000000000002</v>
      </c>
      <c r="L5" s="6">
        <v>0.88849999999999996</v>
      </c>
      <c r="M5" s="6">
        <v>0.93099999999999994</v>
      </c>
      <c r="N5" s="6">
        <v>0.94319999999999993</v>
      </c>
      <c r="O5" s="6">
        <v>0.91969999999999996</v>
      </c>
      <c r="P5" s="6">
        <v>0.9667</v>
      </c>
      <c r="Q5" s="5">
        <v>0.68600000000000005</v>
      </c>
      <c r="R5" s="7">
        <f t="shared" si="1"/>
        <v>0.65170000000000006</v>
      </c>
      <c r="S5" s="7">
        <f t="shared" si="2"/>
        <v>0.68428500000000014</v>
      </c>
    </row>
    <row r="6" spans="1:19" x14ac:dyDescent="0.3">
      <c r="A6" t="s">
        <v>3</v>
      </c>
      <c r="B6" t="s">
        <v>73</v>
      </c>
      <c r="C6" t="s">
        <v>68</v>
      </c>
      <c r="D6" t="s">
        <v>68</v>
      </c>
      <c r="E6" t="s">
        <v>69</v>
      </c>
      <c r="F6" s="5">
        <v>0</v>
      </c>
      <c r="G6" s="5">
        <v>1</v>
      </c>
      <c r="H6" s="5">
        <v>0</v>
      </c>
      <c r="I6" s="5">
        <v>0</v>
      </c>
      <c r="J6" s="9">
        <f t="shared" si="0"/>
        <v>1</v>
      </c>
      <c r="K6" s="5">
        <v>0</v>
      </c>
      <c r="L6" s="5">
        <f>K6*0.95</f>
        <v>0</v>
      </c>
      <c r="M6" s="5">
        <f>L6*1.05</f>
        <v>0</v>
      </c>
      <c r="N6" s="5">
        <v>0.95176181599999998</v>
      </c>
      <c r="O6" s="5">
        <f t="shared" ref="O6:O11" si="3">N6*0.95</f>
        <v>0.90417372519999994</v>
      </c>
      <c r="P6" s="5">
        <f>N6*1.05</f>
        <v>0.99934990680000002</v>
      </c>
      <c r="Q6" s="5">
        <v>0</v>
      </c>
      <c r="R6" s="7">
        <f t="shared" si="1"/>
        <v>0</v>
      </c>
      <c r="S6" s="7">
        <f t="shared" si="2"/>
        <v>0</v>
      </c>
    </row>
    <row r="7" spans="1:19" x14ac:dyDescent="0.3">
      <c r="A7" t="s">
        <v>4</v>
      </c>
      <c r="B7" t="s">
        <v>73</v>
      </c>
      <c r="C7" t="s">
        <v>68</v>
      </c>
      <c r="D7" t="s">
        <v>69</v>
      </c>
      <c r="E7" t="s">
        <v>69</v>
      </c>
      <c r="F7" s="5">
        <v>0</v>
      </c>
      <c r="G7" s="5">
        <v>1</v>
      </c>
      <c r="H7" s="5">
        <v>0</v>
      </c>
      <c r="I7" s="5">
        <v>0</v>
      </c>
      <c r="J7" s="5">
        <f t="shared" si="0"/>
        <v>1</v>
      </c>
      <c r="K7" s="8">
        <v>0.84588505065844988</v>
      </c>
      <c r="L7" s="10">
        <f>K7*0.95</f>
        <v>0.80359079812552736</v>
      </c>
      <c r="M7" s="10">
        <f>L7*1.05</f>
        <v>0.84377033803180379</v>
      </c>
      <c r="N7" s="5">
        <v>0.93</v>
      </c>
      <c r="O7" s="5">
        <f t="shared" si="3"/>
        <v>0.88349999999999995</v>
      </c>
      <c r="P7" s="5">
        <f>MIN(N7*1.05, 0.995)</f>
        <v>0.97650000000000015</v>
      </c>
      <c r="Q7" s="8">
        <v>0.71148214285714262</v>
      </c>
      <c r="R7" s="7">
        <f t="shared" si="1"/>
        <v>0.67590803571428548</v>
      </c>
      <c r="S7" s="7">
        <f t="shared" si="2"/>
        <v>0.70970343749999976</v>
      </c>
    </row>
    <row r="8" spans="1:19" x14ac:dyDescent="0.3">
      <c r="A8" t="s">
        <v>5</v>
      </c>
      <c r="B8" t="s">
        <v>73</v>
      </c>
      <c r="C8" t="s">
        <v>68</v>
      </c>
      <c r="D8" t="s">
        <v>68</v>
      </c>
      <c r="E8" t="s">
        <v>69</v>
      </c>
      <c r="F8" s="5">
        <v>0.68</v>
      </c>
      <c r="G8" s="5">
        <v>7.0000000000000007E-2</v>
      </c>
      <c r="H8" s="7">
        <f>1-SUM(F8:G8,I8)</f>
        <v>0.22999999999999998</v>
      </c>
      <c r="I8" s="5">
        <v>0.02</v>
      </c>
      <c r="J8" s="5">
        <f t="shared" si="0"/>
        <v>1</v>
      </c>
      <c r="K8" s="5">
        <v>0.94</v>
      </c>
      <c r="L8" s="10">
        <f>K8*0.95</f>
        <v>0.8929999999999999</v>
      </c>
      <c r="M8" s="10">
        <f>L8*1.05</f>
        <v>0.93764999999999998</v>
      </c>
      <c r="N8" s="5">
        <v>0.93</v>
      </c>
      <c r="O8" s="5">
        <f t="shared" si="3"/>
        <v>0.88349999999999995</v>
      </c>
      <c r="P8" s="5">
        <f>MIN(N8*1.05, 0.995)</f>
        <v>0.97650000000000015</v>
      </c>
      <c r="Q8" s="5">
        <v>0.83</v>
      </c>
      <c r="R8" s="7">
        <f t="shared" si="1"/>
        <v>0.78849999999999998</v>
      </c>
      <c r="S8" s="7">
        <f t="shared" si="2"/>
        <v>0.82792500000000002</v>
      </c>
    </row>
    <row r="9" spans="1:19" x14ac:dyDescent="0.3">
      <c r="A9" t="s">
        <v>94</v>
      </c>
      <c r="B9" t="s">
        <v>73</v>
      </c>
      <c r="C9" t="s">
        <v>68</v>
      </c>
      <c r="D9" t="s">
        <v>68</v>
      </c>
      <c r="E9" t="s">
        <v>69</v>
      </c>
      <c r="F9" s="5">
        <v>0.68</v>
      </c>
      <c r="G9" s="5">
        <v>7.0000000000000007E-2</v>
      </c>
      <c r="H9" s="7">
        <f>1-SUM(F9:G9,I9)</f>
        <v>0.22999999999999998</v>
      </c>
      <c r="I9" s="5">
        <v>0.02</v>
      </c>
      <c r="J9" s="5">
        <f t="shared" si="0"/>
        <v>1</v>
      </c>
      <c r="K9" s="5">
        <v>0.94</v>
      </c>
      <c r="L9" s="10">
        <f>K9*0.95</f>
        <v>0.8929999999999999</v>
      </c>
      <c r="M9" s="10">
        <f>L9*1.05</f>
        <v>0.93764999999999998</v>
      </c>
      <c r="N9" s="5">
        <v>0.93</v>
      </c>
      <c r="O9" s="5">
        <f t="shared" si="3"/>
        <v>0.88349999999999995</v>
      </c>
      <c r="P9" s="5">
        <f>MIN(N9*1.05, 0.995)</f>
        <v>0.97650000000000015</v>
      </c>
      <c r="Q9" s="5">
        <v>0.83</v>
      </c>
      <c r="R9" s="7">
        <f t="shared" si="1"/>
        <v>0.78849999999999998</v>
      </c>
      <c r="S9" s="7">
        <f t="shared" si="2"/>
        <v>0.82792500000000002</v>
      </c>
    </row>
    <row r="10" spans="1:19" x14ac:dyDescent="0.3">
      <c r="A10" t="s">
        <v>97</v>
      </c>
      <c r="B10" t="s">
        <v>73</v>
      </c>
      <c r="C10" t="s">
        <v>68</v>
      </c>
      <c r="D10" t="s">
        <v>69</v>
      </c>
      <c r="E10" t="s">
        <v>69</v>
      </c>
      <c r="F10" s="11">
        <v>0.84</v>
      </c>
      <c r="G10" s="11">
        <v>0.05</v>
      </c>
      <c r="H10" s="11">
        <v>7.0000000000000007E-2</v>
      </c>
      <c r="I10" s="11">
        <v>0.04</v>
      </c>
      <c r="J10" s="12">
        <f t="shared" si="0"/>
        <v>1</v>
      </c>
      <c r="K10" s="11">
        <v>0.88</v>
      </c>
      <c r="L10" s="11">
        <f>K10*0.94</f>
        <v>0.82719999999999994</v>
      </c>
      <c r="M10" s="11">
        <f>L10*1.06</f>
        <v>0.87683199999999994</v>
      </c>
      <c r="N10" s="11">
        <v>0.95176181599999998</v>
      </c>
      <c r="O10" s="11">
        <f t="shared" si="3"/>
        <v>0.90417372519999994</v>
      </c>
      <c r="P10" s="11">
        <f>N10*1.05</f>
        <v>0.99934990680000002</v>
      </c>
      <c r="Q10" s="11">
        <v>0.77</v>
      </c>
      <c r="R10" s="11">
        <f t="shared" si="1"/>
        <v>0.73149999999999993</v>
      </c>
      <c r="S10" s="11">
        <f t="shared" si="2"/>
        <v>0.76807499999999995</v>
      </c>
    </row>
    <row r="11" spans="1:19" x14ac:dyDescent="0.3">
      <c r="A11" t="s">
        <v>6</v>
      </c>
      <c r="B11" t="s">
        <v>73</v>
      </c>
      <c r="C11" t="s">
        <v>69</v>
      </c>
      <c r="D11" t="s">
        <v>69</v>
      </c>
      <c r="E11" t="s">
        <v>69</v>
      </c>
      <c r="F11">
        <v>0.3</v>
      </c>
      <c r="G11">
        <v>0.02</v>
      </c>
      <c r="H11" s="7">
        <f>1-SUM(F11:G11,I11)</f>
        <v>0.64</v>
      </c>
      <c r="I11">
        <v>0.04</v>
      </c>
      <c r="J11" s="9">
        <f t="shared" si="0"/>
        <v>1</v>
      </c>
      <c r="K11">
        <v>0.86</v>
      </c>
      <c r="L11" s="4">
        <f>K11*0.95</f>
        <v>0.81699999999999995</v>
      </c>
      <c r="M11" s="4">
        <f>L11*1.05</f>
        <v>0.85785</v>
      </c>
      <c r="N11">
        <v>0.93</v>
      </c>
      <c r="O11">
        <f t="shared" si="3"/>
        <v>0.88349999999999995</v>
      </c>
      <c r="P11">
        <f>MIN(N11*1.05, 0.995)</f>
        <v>0.97650000000000015</v>
      </c>
      <c r="Q11">
        <v>0.6</v>
      </c>
      <c r="R11" s="4">
        <f t="shared" si="1"/>
        <v>0.56999999999999995</v>
      </c>
      <c r="S11" s="4">
        <f t="shared" si="2"/>
        <v>0.59849999999999992</v>
      </c>
    </row>
    <row r="12" spans="1:19" x14ac:dyDescent="0.3">
      <c r="A12" t="s">
        <v>7</v>
      </c>
      <c r="B12" t="s">
        <v>75</v>
      </c>
      <c r="C12" t="s">
        <v>68</v>
      </c>
      <c r="D12" t="s">
        <v>68</v>
      </c>
      <c r="E12" t="s">
        <v>68</v>
      </c>
      <c r="F12" s="6">
        <v>0.86849038461538397</v>
      </c>
      <c r="G12" s="6">
        <f>6.7799419/100</f>
        <v>6.7799419E-2</v>
      </c>
      <c r="H12" s="7">
        <f>1-SUM(F12:G12,I12)</f>
        <v>1.3710196384616014E-2</v>
      </c>
      <c r="I12" s="5">
        <f>5/100</f>
        <v>0.05</v>
      </c>
      <c r="J12" s="9">
        <f t="shared" si="0"/>
        <v>1</v>
      </c>
      <c r="K12" s="6">
        <v>0.86599999999999999</v>
      </c>
      <c r="L12" s="6">
        <v>0.75829999999999997</v>
      </c>
      <c r="M12" s="6">
        <v>0.94739999999999991</v>
      </c>
      <c r="N12" s="6">
        <v>0.93709999999999993</v>
      </c>
      <c r="O12" s="6">
        <v>0.87280000000000002</v>
      </c>
      <c r="P12" s="6">
        <v>0.97950000000000004</v>
      </c>
      <c r="Q12" s="5">
        <v>0.78</v>
      </c>
      <c r="R12" s="7">
        <f t="shared" si="1"/>
        <v>0.74099999999999999</v>
      </c>
      <c r="S12" s="7">
        <f t="shared" si="2"/>
        <v>0.77805000000000002</v>
      </c>
    </row>
    <row r="13" spans="1:19" x14ac:dyDescent="0.3">
      <c r="A13" t="s">
        <v>8</v>
      </c>
      <c r="B13" t="s">
        <v>74</v>
      </c>
      <c r="C13" t="s">
        <v>68</v>
      </c>
      <c r="D13" t="s">
        <v>68</v>
      </c>
      <c r="E13" t="s">
        <v>68</v>
      </c>
      <c r="F13" s="6">
        <v>0.73424999999999996</v>
      </c>
      <c r="G13" s="6">
        <v>8.3000000000000004E-2</v>
      </c>
      <c r="H13" s="7">
        <f>1-SUM(F13:G13,I13)</f>
        <v>4.3750000000000067E-2</v>
      </c>
      <c r="I13" s="5">
        <f>13.9/100</f>
        <v>0.13900000000000001</v>
      </c>
      <c r="J13" s="9">
        <f t="shared" si="0"/>
        <v>1</v>
      </c>
      <c r="K13" s="6">
        <v>0.87980000000000003</v>
      </c>
      <c r="L13" s="6">
        <v>0.82969999999999999</v>
      </c>
      <c r="M13" s="6">
        <v>0.92209999999999992</v>
      </c>
      <c r="N13" s="6">
        <v>0.95669999999999999</v>
      </c>
      <c r="O13" s="6">
        <v>0.8993000000000001</v>
      </c>
      <c r="P13" s="6">
        <v>0.99199999999999999</v>
      </c>
      <c r="Q13" s="5">
        <f>83.3/100</f>
        <v>0.83299999999999996</v>
      </c>
      <c r="R13" s="5">
        <f>74.5/100</f>
        <v>0.745</v>
      </c>
      <c r="S13" s="5">
        <f>92.6/100</f>
        <v>0.92599999999999993</v>
      </c>
    </row>
    <row r="14" spans="1:19" x14ac:dyDescent="0.3">
      <c r="A14" t="s">
        <v>9</v>
      </c>
      <c r="B14" t="s">
        <v>74</v>
      </c>
      <c r="C14" t="s">
        <v>68</v>
      </c>
      <c r="D14" t="s">
        <v>68</v>
      </c>
      <c r="E14" t="s">
        <v>68</v>
      </c>
      <c r="F14" s="6">
        <v>0.73424999999999996</v>
      </c>
      <c r="G14" s="6">
        <v>8.3000000000000004E-2</v>
      </c>
      <c r="H14" s="7">
        <f>1-SUM(F14:G14,I14)</f>
        <v>4.3750000000000067E-2</v>
      </c>
      <c r="I14" s="5">
        <f>13.9/100</f>
        <v>0.13900000000000001</v>
      </c>
      <c r="J14" s="9">
        <f t="shared" si="0"/>
        <v>1</v>
      </c>
      <c r="K14" s="6">
        <v>0.87980000000000003</v>
      </c>
      <c r="L14" s="6">
        <v>0.82969999999999999</v>
      </c>
      <c r="M14" s="6">
        <v>0.92209999999999992</v>
      </c>
      <c r="N14" s="6">
        <v>0.95669999999999999</v>
      </c>
      <c r="O14" s="6">
        <v>0.8993000000000001</v>
      </c>
      <c r="P14" s="6">
        <v>0.99199999999999999</v>
      </c>
      <c r="Q14" s="5">
        <f>81.7/100</f>
        <v>0.81700000000000006</v>
      </c>
      <c r="R14" s="5">
        <f>71.8/100</f>
        <v>0.71799999999999997</v>
      </c>
      <c r="S14" s="5">
        <f>91.6/100</f>
        <v>0.91599999999999993</v>
      </c>
    </row>
    <row r="15" spans="1:19" x14ac:dyDescent="0.3">
      <c r="A15" t="s">
        <v>10</v>
      </c>
      <c r="B15" t="s">
        <v>74</v>
      </c>
      <c r="C15" t="s">
        <v>68</v>
      </c>
      <c r="D15" t="s">
        <v>68</v>
      </c>
      <c r="E15" t="s">
        <v>69</v>
      </c>
      <c r="F15" s="5">
        <v>0</v>
      </c>
      <c r="G15" s="5">
        <v>1</v>
      </c>
      <c r="H15" s="5">
        <v>0</v>
      </c>
      <c r="I15" s="5">
        <v>0</v>
      </c>
      <c r="J15" s="9">
        <f t="shared" si="0"/>
        <v>1</v>
      </c>
      <c r="K15" s="5">
        <v>0</v>
      </c>
      <c r="L15" s="5">
        <f>K15*0.95</f>
        <v>0</v>
      </c>
      <c r="M15" s="5">
        <f>L15*1.05</f>
        <v>0</v>
      </c>
      <c r="N15" s="6">
        <v>0.95669999999999999</v>
      </c>
      <c r="O15" s="6">
        <v>0.8993000000000001</v>
      </c>
      <c r="P15" s="6">
        <v>0.99199999999999999</v>
      </c>
      <c r="Q15" s="5">
        <v>0</v>
      </c>
      <c r="R15" s="7">
        <f>Q15*0.95</f>
        <v>0</v>
      </c>
      <c r="S15" s="7">
        <f>R15*1.05</f>
        <v>0</v>
      </c>
    </row>
    <row r="16" spans="1:19" x14ac:dyDescent="0.3">
      <c r="A16" t="s">
        <v>11</v>
      </c>
      <c r="B16" t="s">
        <v>74</v>
      </c>
      <c r="C16" t="s">
        <v>68</v>
      </c>
      <c r="D16" t="s">
        <v>68</v>
      </c>
      <c r="E16" t="s">
        <v>69</v>
      </c>
      <c r="F16" s="5">
        <v>0</v>
      </c>
      <c r="G16" s="5">
        <v>1</v>
      </c>
      <c r="H16" s="5">
        <v>0</v>
      </c>
      <c r="I16" s="5">
        <v>0</v>
      </c>
      <c r="J16" s="9">
        <f t="shared" si="0"/>
        <v>1</v>
      </c>
      <c r="K16" s="5">
        <v>0</v>
      </c>
      <c r="L16" s="5">
        <f>K16*0.95</f>
        <v>0</v>
      </c>
      <c r="M16" s="5">
        <f>L16*1.05</f>
        <v>0</v>
      </c>
      <c r="N16" s="6">
        <v>0.95669999999999999</v>
      </c>
      <c r="O16" s="6">
        <v>0.8993000000000001</v>
      </c>
      <c r="P16" s="6">
        <v>0.99199999999999999</v>
      </c>
      <c r="Q16" s="5">
        <v>0</v>
      </c>
      <c r="R16" s="7">
        <f>Q16*0.95</f>
        <v>0</v>
      </c>
      <c r="S16" s="7">
        <f>R16*1.05</f>
        <v>0</v>
      </c>
    </row>
    <row r="17" spans="1:19" x14ac:dyDescent="0.3">
      <c r="A17" t="s">
        <v>93</v>
      </c>
      <c r="B17" t="s">
        <v>73</v>
      </c>
      <c r="C17" t="s">
        <v>68</v>
      </c>
      <c r="D17" t="s">
        <v>69</v>
      </c>
      <c r="E17" t="s">
        <v>69</v>
      </c>
      <c r="F17" s="5">
        <v>0</v>
      </c>
      <c r="G17" s="5">
        <v>0</v>
      </c>
      <c r="H17" s="5">
        <v>0</v>
      </c>
      <c r="I17" s="5">
        <v>1</v>
      </c>
      <c r="J17" s="9">
        <f t="shared" si="0"/>
        <v>1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</row>
    <row r="18" spans="1:19" x14ac:dyDescent="0.3">
      <c r="A18" t="s">
        <v>12</v>
      </c>
      <c r="B18" t="s">
        <v>73</v>
      </c>
      <c r="C18" t="s">
        <v>68</v>
      </c>
      <c r="D18" t="s">
        <v>68</v>
      </c>
      <c r="E18" t="s">
        <v>69</v>
      </c>
      <c r="F18" s="5">
        <v>0.42</v>
      </c>
      <c r="G18" s="5">
        <v>5.2999999999999999E-2</v>
      </c>
      <c r="H18" s="5">
        <v>0.46899999999999997</v>
      </c>
      <c r="I18" s="5">
        <v>5.8000000000000003E-2</v>
      </c>
      <c r="J18" s="9">
        <f t="shared" si="0"/>
        <v>1</v>
      </c>
      <c r="K18" s="5">
        <v>0.63000000000000012</v>
      </c>
      <c r="L18" s="10">
        <f>K18*0.95</f>
        <v>0.59850000000000003</v>
      </c>
      <c r="M18" s="10">
        <f>L18*1.05</f>
        <v>0.62842500000000001</v>
      </c>
      <c r="N18" s="5">
        <v>0.95176181599999998</v>
      </c>
      <c r="O18" s="5">
        <f>N18*0.95</f>
        <v>0.90417372519999994</v>
      </c>
      <c r="P18" s="5">
        <f>N18*1.05</f>
        <v>0.99934990680000002</v>
      </c>
      <c r="Q18" s="5">
        <v>0.71</v>
      </c>
      <c r="R18" s="7">
        <f>Q18*0.95</f>
        <v>0.67449999999999999</v>
      </c>
      <c r="S18" s="7">
        <f>R18*1.05</f>
        <v>0.70822499999999999</v>
      </c>
    </row>
    <row r="19" spans="1:19" x14ac:dyDescent="0.3">
      <c r="A19" t="s">
        <v>13</v>
      </c>
      <c r="B19" t="s">
        <v>73</v>
      </c>
      <c r="C19" t="s">
        <v>69</v>
      </c>
      <c r="D19" t="s">
        <v>69</v>
      </c>
      <c r="E19" t="s">
        <v>69</v>
      </c>
      <c r="F19">
        <v>0.55800000000000005</v>
      </c>
      <c r="G19">
        <v>4.7E-2</v>
      </c>
      <c r="H19">
        <v>0.34100000000000003</v>
      </c>
      <c r="I19">
        <v>5.3999999999999999E-2</v>
      </c>
      <c r="J19" s="9">
        <f t="shared" si="0"/>
        <v>1.0000000000000002</v>
      </c>
      <c r="K19">
        <v>0.63000000000000012</v>
      </c>
      <c r="L19" s="4">
        <f>K19*0.95</f>
        <v>0.59850000000000003</v>
      </c>
      <c r="M19" s="4">
        <f>L19*1.05</f>
        <v>0.62842500000000001</v>
      </c>
      <c r="N19">
        <v>0.93</v>
      </c>
      <c r="O19">
        <f>N19*0.95</f>
        <v>0.88349999999999995</v>
      </c>
      <c r="P19">
        <f>MIN(N19*1.05, 0.995)</f>
        <v>0.97650000000000015</v>
      </c>
      <c r="Q19">
        <v>0.65000000000000013</v>
      </c>
      <c r="R19" s="4">
        <f>Q19*0.95</f>
        <v>0.61750000000000005</v>
      </c>
      <c r="S19" s="4">
        <f>R19*1.05</f>
        <v>0.64837500000000003</v>
      </c>
    </row>
    <row r="20" spans="1:19" x14ac:dyDescent="0.3">
      <c r="A20" t="s">
        <v>115</v>
      </c>
      <c r="B20" t="s">
        <v>75</v>
      </c>
      <c r="C20" t="s">
        <v>68</v>
      </c>
      <c r="D20" t="s">
        <v>68</v>
      </c>
      <c r="E20" t="s">
        <v>69</v>
      </c>
      <c r="F20" s="5">
        <v>0.93</v>
      </c>
      <c r="G20" s="5">
        <v>7.0000000000000007E-2</v>
      </c>
      <c r="H20" s="7">
        <f>1-SUM(F20:G20,I20)</f>
        <v>0</v>
      </c>
      <c r="I20" s="5">
        <v>0</v>
      </c>
      <c r="J20" s="9">
        <f t="shared" ref="J20" si="4">SUM(F20:I20)</f>
        <v>1</v>
      </c>
      <c r="K20" s="5">
        <v>0.622</v>
      </c>
      <c r="L20" s="10">
        <f>K20*0.94</f>
        <v>0.58467999999999998</v>
      </c>
      <c r="M20" s="10">
        <f>L20*1.06</f>
        <v>0.6197608</v>
      </c>
      <c r="N20" s="5">
        <v>0.95176181599999998</v>
      </c>
      <c r="O20" s="5">
        <f>N20*0.95</f>
        <v>0.90417372519999994</v>
      </c>
      <c r="P20" s="5">
        <f>N20*1.05</f>
        <v>0.99934990680000002</v>
      </c>
      <c r="Q20" s="5">
        <v>0.60399999999999998</v>
      </c>
      <c r="R20" s="7">
        <f>Q20*0.95</f>
        <v>0.57379999999999998</v>
      </c>
      <c r="S20" s="7">
        <f>R20*1.05</f>
        <v>0.60248999999999997</v>
      </c>
    </row>
    <row r="21" spans="1:19" x14ac:dyDescent="0.3">
      <c r="A21" t="s">
        <v>49</v>
      </c>
      <c r="B21" t="s">
        <v>75</v>
      </c>
      <c r="C21" t="s">
        <v>68</v>
      </c>
      <c r="D21" t="s">
        <v>68</v>
      </c>
      <c r="E21" t="s">
        <v>69</v>
      </c>
      <c r="F21" s="5">
        <v>0.93</v>
      </c>
      <c r="G21" s="5">
        <v>7.0000000000000007E-2</v>
      </c>
      <c r="H21" s="7">
        <f>1-SUM(F21:G21,I21)</f>
        <v>0</v>
      </c>
      <c r="I21" s="5">
        <v>0</v>
      </c>
      <c r="J21" s="9">
        <f t="shared" si="0"/>
        <v>1</v>
      </c>
      <c r="K21" s="5">
        <v>0.622</v>
      </c>
      <c r="L21" s="10">
        <f>K21*0.94</f>
        <v>0.58467999999999998</v>
      </c>
      <c r="M21" s="10">
        <f>L21*1.06</f>
        <v>0.6197608</v>
      </c>
      <c r="N21" s="5">
        <v>0.95176181599999998</v>
      </c>
      <c r="O21" s="5">
        <f>N21*0.95</f>
        <v>0.90417372519999994</v>
      </c>
      <c r="P21" s="5">
        <f>N21*1.05</f>
        <v>0.99934990680000002</v>
      </c>
      <c r="Q21" s="5">
        <v>0.60399999999999998</v>
      </c>
      <c r="R21" s="7">
        <f>Q21*0.95</f>
        <v>0.57379999999999998</v>
      </c>
      <c r="S21" s="7">
        <f>R21*1.05</f>
        <v>0.60248999999999997</v>
      </c>
    </row>
    <row r="22" spans="1:19" x14ac:dyDescent="0.3">
      <c r="A22" t="s">
        <v>89</v>
      </c>
      <c r="B22" t="s">
        <v>72</v>
      </c>
      <c r="C22" t="s">
        <v>69</v>
      </c>
      <c r="D22" t="s">
        <v>69</v>
      </c>
      <c r="E22" t="s">
        <v>68</v>
      </c>
      <c r="F22" s="6">
        <v>0.58399999999999996</v>
      </c>
      <c r="G22" s="6">
        <v>0.17899999999999999</v>
      </c>
      <c r="H22" s="7">
        <f>1-SUM(F22:G22,I22)</f>
        <v>0.1070000000000001</v>
      </c>
      <c r="I22" s="5">
        <v>0.13</v>
      </c>
      <c r="J22" s="9">
        <f t="shared" si="0"/>
        <v>1</v>
      </c>
      <c r="K22" s="6">
        <v>0.88470000000000004</v>
      </c>
      <c r="L22" s="6">
        <v>0.84920000000000007</v>
      </c>
      <c r="M22" s="6">
        <v>0.93629999999999991</v>
      </c>
      <c r="N22" s="6">
        <v>0.9466</v>
      </c>
      <c r="O22" s="6">
        <v>0.91510000000000002</v>
      </c>
      <c r="P22" s="6">
        <v>0.97360000000000002</v>
      </c>
      <c r="Q22" s="5">
        <v>0.41000000000000003</v>
      </c>
      <c r="R22" s="7">
        <f>Q22*0.95</f>
        <v>0.38950000000000001</v>
      </c>
      <c r="S22" s="7">
        <f>R22*1.05</f>
        <v>0.40897500000000003</v>
      </c>
    </row>
    <row r="23" spans="1:19" x14ac:dyDescent="0.3">
      <c r="A23" t="s">
        <v>14</v>
      </c>
      <c r="B23" t="s">
        <v>74</v>
      </c>
      <c r="C23" t="s">
        <v>68</v>
      </c>
      <c r="D23" t="s">
        <v>68</v>
      </c>
      <c r="E23" t="s">
        <v>68</v>
      </c>
      <c r="F23" s="6">
        <v>0.55099999999999993</v>
      </c>
      <c r="G23" s="6">
        <f>26.92252/100</f>
        <v>0.2692252</v>
      </c>
      <c r="H23" s="7">
        <f>1-SUM(F23:G23,I23)</f>
        <v>4.08748000000001E-2</v>
      </c>
      <c r="I23" s="5">
        <f>13.89/100</f>
        <v>0.1389</v>
      </c>
      <c r="J23" s="9">
        <f t="shared" si="0"/>
        <v>1</v>
      </c>
      <c r="K23" s="6">
        <v>0.87769999999999992</v>
      </c>
      <c r="L23" s="6">
        <v>0.86930000000000007</v>
      </c>
      <c r="M23" s="6">
        <v>0.88549999999999995</v>
      </c>
      <c r="N23" s="6">
        <v>0.95109999999999995</v>
      </c>
      <c r="O23" s="6">
        <v>0.93889999999999996</v>
      </c>
      <c r="P23" s="6">
        <v>0.95739999999999992</v>
      </c>
      <c r="Q23" s="5">
        <v>0.59399999999999997</v>
      </c>
      <c r="R23" s="5">
        <f>Q23-3*(2.16/100)</f>
        <v>0.5292</v>
      </c>
      <c r="S23" s="5">
        <f>Q23+3*(2.16/100)</f>
        <v>0.65879999999999994</v>
      </c>
    </row>
    <row r="24" spans="1:19" x14ac:dyDescent="0.3">
      <c r="A24" t="s">
        <v>15</v>
      </c>
      <c r="B24" t="s">
        <v>73</v>
      </c>
      <c r="C24" t="s">
        <v>69</v>
      </c>
      <c r="D24" t="s">
        <v>69</v>
      </c>
      <c r="E24" t="s">
        <v>69</v>
      </c>
      <c r="F24">
        <v>0</v>
      </c>
      <c r="G24">
        <v>1</v>
      </c>
      <c r="H24">
        <v>0</v>
      </c>
      <c r="I24">
        <v>0</v>
      </c>
      <c r="J24" s="9">
        <f t="shared" si="0"/>
        <v>1</v>
      </c>
      <c r="K24" s="4">
        <v>0.84588505065844988</v>
      </c>
      <c r="L24" s="4">
        <f>K24*0.95</f>
        <v>0.80359079812552736</v>
      </c>
      <c r="M24" s="4">
        <f>L24*1.05</f>
        <v>0.84377033803180379</v>
      </c>
      <c r="N24">
        <v>0.93</v>
      </c>
      <c r="O24">
        <f>N24*0.95</f>
        <v>0.88349999999999995</v>
      </c>
      <c r="P24">
        <f>MIN(N24*1.05, 0.995)</f>
        <v>0.97650000000000015</v>
      </c>
      <c r="Q24" s="4">
        <v>0.71148214285714262</v>
      </c>
      <c r="R24" s="4">
        <f>Q24*0.95</f>
        <v>0.67590803571428548</v>
      </c>
      <c r="S24" s="4">
        <f>R24*1.05</f>
        <v>0.70970343749999976</v>
      </c>
    </row>
    <row r="25" spans="1:19" x14ac:dyDescent="0.3">
      <c r="A25" t="s">
        <v>114</v>
      </c>
      <c r="B25" t="s">
        <v>73</v>
      </c>
      <c r="C25" t="s">
        <v>68</v>
      </c>
      <c r="D25" t="s">
        <v>68</v>
      </c>
      <c r="E25" t="s">
        <v>69</v>
      </c>
      <c r="F25" s="5">
        <f>AVERAGE(420.2,405.3,420.2,403.8,390.7,468.4)/1000</f>
        <v>0.41809999999999997</v>
      </c>
      <c r="G25" s="5">
        <f>AVERAGE(175.4,153.9,171.8,132.3,106.7,100.1)/1000</f>
        <v>0.14003333333333337</v>
      </c>
      <c r="H25" s="7">
        <f>1-SUM(F25:G25,I25)</f>
        <v>0.41068333333333329</v>
      </c>
      <c r="I25" s="5">
        <f>AVERAGE(28.6,37.6,28,37.3,25.9,29.7)/1000</f>
        <v>3.1183333333333334E-2</v>
      </c>
      <c r="J25" s="9">
        <f t="shared" ref="J25" si="5">SUM(F25:I25)</f>
        <v>1</v>
      </c>
      <c r="K25" s="5">
        <f>AVERAGE(89.5,89.3,87.9,88.2,89.3,90.1)/100</f>
        <v>0.89050000000000007</v>
      </c>
      <c r="L25" s="5">
        <f>MIN(89.5,89.3,87.9,88.2,89.3,90.1)/100</f>
        <v>0.879</v>
      </c>
      <c r="M25" s="5">
        <f>MAX(89.5,89.3,87.9,88.2,89.3,90.1)/100</f>
        <v>0.90099999999999991</v>
      </c>
      <c r="N25" s="5">
        <v>0.95176181599999998</v>
      </c>
      <c r="O25" s="5">
        <f>N25*0.95</f>
        <v>0.90417372519999994</v>
      </c>
      <c r="P25" s="5">
        <f>N25*1.05</f>
        <v>0.99934990680000002</v>
      </c>
      <c r="Q25" s="5">
        <f>AVERAGE(79.7,80.2,80,80,81.2,77.4)/100</f>
        <v>0.79749999999999999</v>
      </c>
      <c r="R25" s="5">
        <f>MIN(79.7,80.2,80,80,81.2,77.4)/100</f>
        <v>0.77400000000000002</v>
      </c>
      <c r="S25" s="5">
        <f>MAX(79.7,80.2,80,80,81.2,77.4)/100</f>
        <v>0.81200000000000006</v>
      </c>
    </row>
    <row r="26" spans="1:19" x14ac:dyDescent="0.3">
      <c r="A26" t="s">
        <v>88</v>
      </c>
      <c r="B26" t="s">
        <v>73</v>
      </c>
      <c r="C26" t="s">
        <v>68</v>
      </c>
      <c r="D26" t="s">
        <v>68</v>
      </c>
      <c r="E26" t="s">
        <v>69</v>
      </c>
      <c r="F26" s="5">
        <f>AVERAGE(420.2,405.3,420.2,403.8,390.7,468.4)/1000</f>
        <v>0.41809999999999997</v>
      </c>
      <c r="G26" s="5">
        <f>AVERAGE(175.4,153.9,171.8,132.3,106.7,100.1)/1000</f>
        <v>0.14003333333333337</v>
      </c>
      <c r="H26" s="7">
        <f>1-SUM(F26:G26,I26)</f>
        <v>0.41068333333333329</v>
      </c>
      <c r="I26" s="5">
        <f>AVERAGE(28.6,37.6,28,37.3,25.9,29.7)/1000</f>
        <v>3.1183333333333334E-2</v>
      </c>
      <c r="J26" s="9">
        <f t="shared" si="0"/>
        <v>1</v>
      </c>
      <c r="K26" s="5">
        <f>AVERAGE(89.5,89.3,87.9,88.2,89.3,90.1)/100</f>
        <v>0.89050000000000007</v>
      </c>
      <c r="L26" s="5">
        <f>MIN(89.5,89.3,87.9,88.2,89.3,90.1)/100</f>
        <v>0.879</v>
      </c>
      <c r="M26" s="5">
        <f>MAX(89.5,89.3,87.9,88.2,89.3,90.1)/100</f>
        <v>0.90099999999999991</v>
      </c>
      <c r="N26" s="5">
        <v>0.95176181599999998</v>
      </c>
      <c r="O26" s="5">
        <f>N26*0.95</f>
        <v>0.90417372519999994</v>
      </c>
      <c r="P26" s="5">
        <f>N26*1.05</f>
        <v>0.99934990680000002</v>
      </c>
      <c r="Q26" s="5">
        <f>AVERAGE(79.7,80.2,80,80,81.2,77.4)/100</f>
        <v>0.79749999999999999</v>
      </c>
      <c r="R26" s="5">
        <f>MIN(79.7,80.2,80,80,81.2,77.4)/100</f>
        <v>0.77400000000000002</v>
      </c>
      <c r="S26" s="5">
        <f>MAX(79.7,80.2,80,80,81.2,77.4)/100</f>
        <v>0.81200000000000006</v>
      </c>
    </row>
    <row r="27" spans="1:19" x14ac:dyDescent="0.3">
      <c r="A27" t="s">
        <v>16</v>
      </c>
      <c r="B27" t="s">
        <v>75</v>
      </c>
      <c r="C27" t="s">
        <v>68</v>
      </c>
      <c r="D27" t="s">
        <v>68</v>
      </c>
      <c r="E27" t="s">
        <v>68</v>
      </c>
      <c r="F27" s="6">
        <v>0.53783333333333327</v>
      </c>
      <c r="G27" s="6">
        <f>13.249433/100</f>
        <v>0.13249432999999999</v>
      </c>
      <c r="H27" s="7">
        <f>1-SUM(F27:G27,I27)</f>
        <v>2.4672336666666794E-2</v>
      </c>
      <c r="I27" s="5">
        <v>0.30499999999999999</v>
      </c>
      <c r="J27" s="9">
        <f t="shared" si="0"/>
        <v>1</v>
      </c>
      <c r="K27" s="6">
        <v>0.83030000000000004</v>
      </c>
      <c r="L27" s="6">
        <v>0.72499999999999998</v>
      </c>
      <c r="M27" s="6">
        <v>0.9194</v>
      </c>
      <c r="N27" s="6">
        <v>0.93189999999999995</v>
      </c>
      <c r="O27" s="6">
        <v>0.86629999999999996</v>
      </c>
      <c r="P27" s="6">
        <v>0.96779999999999999</v>
      </c>
      <c r="Q27" s="5">
        <v>0.68700000000000006</v>
      </c>
      <c r="R27" s="10">
        <f t="shared" ref="R27:R39" si="6">Q27*0.95</f>
        <v>0.65265000000000006</v>
      </c>
      <c r="S27" s="10">
        <f t="shared" ref="S27:S45" si="7">R27*1.05</f>
        <v>0.68528250000000013</v>
      </c>
    </row>
    <row r="28" spans="1:19" x14ac:dyDescent="0.3">
      <c r="A28" t="s">
        <v>66</v>
      </c>
      <c r="B28" t="s">
        <v>75</v>
      </c>
      <c r="C28" t="s">
        <v>69</v>
      </c>
      <c r="D28" t="s">
        <v>68</v>
      </c>
      <c r="E28" t="s">
        <v>68</v>
      </c>
      <c r="F28" s="6">
        <v>0.56188888888888899</v>
      </c>
      <c r="G28" s="6">
        <v>8.6999999999999994E-2</v>
      </c>
      <c r="H28" s="7">
        <f>1-SUM(F28:G28,I28)</f>
        <v>0.23711111111111105</v>
      </c>
      <c r="I28" s="8">
        <v>0.114</v>
      </c>
      <c r="J28" s="9">
        <f t="shared" si="0"/>
        <v>1</v>
      </c>
      <c r="K28" s="6">
        <v>0.81159999999999999</v>
      </c>
      <c r="L28" s="6">
        <v>0.70010000000000006</v>
      </c>
      <c r="M28" s="6">
        <v>0.93319999999999992</v>
      </c>
      <c r="N28" s="6">
        <v>0.95489999999999997</v>
      </c>
      <c r="O28" s="6">
        <v>0.90229999999999999</v>
      </c>
      <c r="P28" s="6">
        <v>0.98790000000000011</v>
      </c>
      <c r="Q28" s="5">
        <v>0.68700000000000006</v>
      </c>
      <c r="R28" s="10">
        <f t="shared" si="6"/>
        <v>0.65265000000000006</v>
      </c>
      <c r="S28" s="10">
        <f t="shared" si="7"/>
        <v>0.68528250000000013</v>
      </c>
    </row>
    <row r="29" spans="1:19" x14ac:dyDescent="0.3">
      <c r="A29" t="s">
        <v>17</v>
      </c>
      <c r="C29" t="s">
        <v>68</v>
      </c>
      <c r="D29" t="s">
        <v>68</v>
      </c>
      <c r="E29" t="s">
        <v>69</v>
      </c>
      <c r="F29" s="5">
        <v>0</v>
      </c>
      <c r="G29" s="5">
        <v>0</v>
      </c>
      <c r="H29" s="5">
        <v>0</v>
      </c>
      <c r="I29" s="5">
        <v>1</v>
      </c>
      <c r="J29" s="9">
        <f t="shared" si="0"/>
        <v>1</v>
      </c>
      <c r="K29" s="5">
        <v>0</v>
      </c>
      <c r="L29" s="5">
        <v>0</v>
      </c>
      <c r="M29" s="5">
        <v>0</v>
      </c>
      <c r="N29" s="5">
        <v>0</v>
      </c>
      <c r="O29" s="5">
        <f>N29*0.95</f>
        <v>0</v>
      </c>
      <c r="P29" s="5">
        <f>N29*1.05</f>
        <v>0</v>
      </c>
      <c r="Q29" s="5">
        <v>0</v>
      </c>
      <c r="R29" s="10">
        <f t="shared" si="6"/>
        <v>0</v>
      </c>
      <c r="S29" s="10">
        <f t="shared" si="7"/>
        <v>0</v>
      </c>
    </row>
    <row r="30" spans="1:19" x14ac:dyDescent="0.3">
      <c r="A30" t="s">
        <v>18</v>
      </c>
      <c r="B30" t="s">
        <v>75</v>
      </c>
      <c r="C30" t="s">
        <v>69</v>
      </c>
      <c r="D30" t="s">
        <v>68</v>
      </c>
      <c r="E30" t="s">
        <v>68</v>
      </c>
      <c r="F30" s="6">
        <v>0.62166666666666659</v>
      </c>
      <c r="G30" s="6">
        <v>0.122</v>
      </c>
      <c r="H30" s="7">
        <f>1-SUM(F30:G30,I30)</f>
        <v>0.14233333333333342</v>
      </c>
      <c r="I30" s="8">
        <v>0.114</v>
      </c>
      <c r="J30" s="9">
        <f t="shared" si="0"/>
        <v>1</v>
      </c>
      <c r="K30" s="6">
        <v>0.78639999999999999</v>
      </c>
      <c r="L30" s="6">
        <v>0.71209999999999996</v>
      </c>
      <c r="M30" s="6">
        <v>0.84200000000000008</v>
      </c>
      <c r="N30" s="6">
        <v>0.9325</v>
      </c>
      <c r="O30" s="6">
        <v>0.91139999999999999</v>
      </c>
      <c r="P30" s="6">
        <v>0.94950000000000001</v>
      </c>
      <c r="Q30" s="5">
        <v>0.68900000000000006</v>
      </c>
      <c r="R30" s="10">
        <f t="shared" si="6"/>
        <v>0.65455000000000008</v>
      </c>
      <c r="S30" s="10">
        <f t="shared" si="7"/>
        <v>0.6872775000000001</v>
      </c>
    </row>
    <row r="31" spans="1:19" x14ac:dyDescent="0.3">
      <c r="A31" t="s">
        <v>19</v>
      </c>
      <c r="B31" t="s">
        <v>73</v>
      </c>
      <c r="C31" t="s">
        <v>69</v>
      </c>
      <c r="D31" t="s">
        <v>69</v>
      </c>
      <c r="E31" t="s">
        <v>69</v>
      </c>
      <c r="F31">
        <v>0.23</v>
      </c>
      <c r="G31">
        <v>0.01</v>
      </c>
      <c r="H31">
        <v>0.45</v>
      </c>
      <c r="I31">
        <v>0.31</v>
      </c>
      <c r="J31" s="9">
        <f t="shared" si="0"/>
        <v>1</v>
      </c>
      <c r="K31">
        <v>0.8</v>
      </c>
      <c r="L31" s="4">
        <f>K31*0.95</f>
        <v>0.76</v>
      </c>
      <c r="M31" s="4">
        <f>L31*1.05</f>
        <v>0.79800000000000004</v>
      </c>
      <c r="N31">
        <v>0.93</v>
      </c>
      <c r="O31">
        <f>N31*0.95</f>
        <v>0.88349999999999995</v>
      </c>
      <c r="P31">
        <f>MIN(N31*1.05, 0.995)</f>
        <v>0.97650000000000015</v>
      </c>
      <c r="Q31">
        <v>0.57999999999999996</v>
      </c>
      <c r="R31" s="4">
        <f t="shared" si="6"/>
        <v>0.55099999999999993</v>
      </c>
      <c r="S31" s="4">
        <f t="shared" si="7"/>
        <v>0.57855000000000001</v>
      </c>
    </row>
    <row r="32" spans="1:19" x14ac:dyDescent="0.3">
      <c r="A32" t="s">
        <v>20</v>
      </c>
      <c r="B32" t="s">
        <v>73</v>
      </c>
      <c r="C32" t="s">
        <v>68</v>
      </c>
      <c r="D32" t="s">
        <v>68</v>
      </c>
      <c r="E32" t="s">
        <v>69</v>
      </c>
      <c r="F32" s="5">
        <v>0.84</v>
      </c>
      <c r="G32" s="5">
        <v>0.05</v>
      </c>
      <c r="H32" s="5">
        <v>7.0000000000000007E-2</v>
      </c>
      <c r="I32" s="5">
        <v>0.04</v>
      </c>
      <c r="J32" s="9">
        <f t="shared" si="0"/>
        <v>1</v>
      </c>
      <c r="K32" s="5">
        <v>0.88</v>
      </c>
      <c r="L32" s="10">
        <f>K32*0.94</f>
        <v>0.82719999999999994</v>
      </c>
      <c r="M32" s="10">
        <f>L32*1.06</f>
        <v>0.87683199999999994</v>
      </c>
      <c r="N32" s="5">
        <v>0.95176181599999998</v>
      </c>
      <c r="O32" s="5">
        <f>N32*0.95</f>
        <v>0.90417372519999994</v>
      </c>
      <c r="P32" s="5">
        <f>N32*1.05</f>
        <v>0.99934990680000002</v>
      </c>
      <c r="Q32" s="5">
        <v>0.77</v>
      </c>
      <c r="R32" s="10">
        <f t="shared" si="6"/>
        <v>0.73149999999999993</v>
      </c>
      <c r="S32" s="10">
        <f t="shared" si="7"/>
        <v>0.76807499999999995</v>
      </c>
    </row>
    <row r="33" spans="1:19" x14ac:dyDescent="0.3">
      <c r="A33" t="s">
        <v>96</v>
      </c>
      <c r="B33" t="s">
        <v>73</v>
      </c>
      <c r="C33" t="s">
        <v>69</v>
      </c>
      <c r="D33" t="s">
        <v>69</v>
      </c>
      <c r="E33" t="s">
        <v>69</v>
      </c>
      <c r="F33">
        <v>0.23</v>
      </c>
      <c r="G33">
        <v>0.01</v>
      </c>
      <c r="H33">
        <v>0.45</v>
      </c>
      <c r="I33">
        <v>0.31</v>
      </c>
      <c r="J33" s="9">
        <f t="shared" si="0"/>
        <v>1</v>
      </c>
      <c r="K33">
        <v>0.8</v>
      </c>
      <c r="L33" s="4">
        <f>K33*0.95</f>
        <v>0.76</v>
      </c>
      <c r="M33" s="4">
        <f>L33*1.05</f>
        <v>0.79800000000000004</v>
      </c>
      <c r="N33">
        <v>0.93</v>
      </c>
      <c r="O33">
        <f>N33*0.95</f>
        <v>0.88349999999999995</v>
      </c>
      <c r="P33">
        <f>MIN(N33*1.05, 0.995)</f>
        <v>0.97650000000000015</v>
      </c>
      <c r="Q33">
        <v>0.57999999999999996</v>
      </c>
      <c r="R33" s="4">
        <f t="shared" si="6"/>
        <v>0.55099999999999993</v>
      </c>
      <c r="S33" s="4">
        <f t="shared" si="7"/>
        <v>0.57855000000000001</v>
      </c>
    </row>
    <row r="34" spans="1:19" x14ac:dyDescent="0.3">
      <c r="A34" t="s">
        <v>95</v>
      </c>
      <c r="B34" t="s">
        <v>73</v>
      </c>
      <c r="C34" t="s">
        <v>69</v>
      </c>
      <c r="D34" t="s">
        <v>69</v>
      </c>
      <c r="E34" t="s">
        <v>69</v>
      </c>
      <c r="F34">
        <v>0.23</v>
      </c>
      <c r="G34">
        <v>0.01</v>
      </c>
      <c r="H34">
        <v>0.45</v>
      </c>
      <c r="I34">
        <v>0.31</v>
      </c>
      <c r="J34" s="9">
        <f t="shared" si="0"/>
        <v>1</v>
      </c>
      <c r="K34">
        <v>0.8</v>
      </c>
      <c r="L34" s="4">
        <f>K34*0.95</f>
        <v>0.76</v>
      </c>
      <c r="M34" s="4">
        <f>L34*1.05</f>
        <v>0.79800000000000004</v>
      </c>
      <c r="N34">
        <v>0.93</v>
      </c>
      <c r="O34">
        <f>N34*0.95</f>
        <v>0.88349999999999995</v>
      </c>
      <c r="P34">
        <f>MIN(N34*1.05, 0.995)</f>
        <v>0.97650000000000015</v>
      </c>
      <c r="Q34">
        <v>0.57999999999999996</v>
      </c>
      <c r="R34" s="4">
        <f t="shared" si="6"/>
        <v>0.55099999999999993</v>
      </c>
      <c r="S34" s="4">
        <f t="shared" si="7"/>
        <v>0.57855000000000001</v>
      </c>
    </row>
    <row r="35" spans="1:19" x14ac:dyDescent="0.3">
      <c r="A35" t="s">
        <v>21</v>
      </c>
      <c r="B35" t="s">
        <v>75</v>
      </c>
      <c r="C35" t="s">
        <v>68</v>
      </c>
      <c r="D35" t="s">
        <v>68</v>
      </c>
      <c r="E35" t="s">
        <v>68</v>
      </c>
      <c r="F35" s="6">
        <v>0.72292857142857125</v>
      </c>
      <c r="G35" s="6">
        <f>11.68969/100</f>
        <v>0.11689690000000001</v>
      </c>
      <c r="H35" s="7">
        <f>1-SUM(F35:G35,I35)</f>
        <v>5.4174528571428793E-2</v>
      </c>
      <c r="I35" s="5">
        <v>0.106</v>
      </c>
      <c r="J35" s="9">
        <f t="shared" si="0"/>
        <v>1</v>
      </c>
      <c r="K35" s="6">
        <v>0.86609999999999998</v>
      </c>
      <c r="L35" s="6">
        <v>0.79749999999999999</v>
      </c>
      <c r="M35" s="6">
        <v>0.93370000000000009</v>
      </c>
      <c r="N35" s="6">
        <v>0.94900000000000007</v>
      </c>
      <c r="O35" s="6">
        <v>0.90069999999999995</v>
      </c>
      <c r="P35" s="6">
        <v>0.98250000000000004</v>
      </c>
      <c r="Q35" s="5">
        <v>0.68899999999999995</v>
      </c>
      <c r="R35" s="10">
        <f t="shared" si="6"/>
        <v>0.65454999999999997</v>
      </c>
      <c r="S35" s="10">
        <f t="shared" si="7"/>
        <v>0.68727749999999999</v>
      </c>
    </row>
    <row r="36" spans="1:19" x14ac:dyDescent="0.3">
      <c r="A36" t="s">
        <v>51</v>
      </c>
      <c r="B36" t="s">
        <v>75</v>
      </c>
      <c r="C36" t="s">
        <v>68</v>
      </c>
      <c r="D36" t="s">
        <v>68</v>
      </c>
      <c r="E36" t="s">
        <v>69</v>
      </c>
      <c r="F36" s="5">
        <v>0</v>
      </c>
      <c r="G36" s="5">
        <v>1</v>
      </c>
      <c r="H36" s="5">
        <v>0</v>
      </c>
      <c r="I36" s="5">
        <v>0</v>
      </c>
      <c r="J36" s="9">
        <f t="shared" si="0"/>
        <v>1</v>
      </c>
      <c r="K36" s="5">
        <v>0</v>
      </c>
      <c r="L36" s="5">
        <f>K36*0.95</f>
        <v>0</v>
      </c>
      <c r="M36" s="5">
        <f>L36*1.05</f>
        <v>0</v>
      </c>
      <c r="N36" s="6">
        <v>0.94900000000000007</v>
      </c>
      <c r="O36" s="6">
        <v>0.90069999999999995</v>
      </c>
      <c r="P36" s="6">
        <v>0.98250000000000004</v>
      </c>
      <c r="Q36" s="5">
        <v>0</v>
      </c>
      <c r="R36" s="10">
        <f t="shared" si="6"/>
        <v>0</v>
      </c>
      <c r="S36" s="10">
        <f t="shared" si="7"/>
        <v>0</v>
      </c>
    </row>
    <row r="37" spans="1:19" x14ac:dyDescent="0.3">
      <c r="A37" t="s">
        <v>52</v>
      </c>
      <c r="B37" t="s">
        <v>75</v>
      </c>
      <c r="C37" t="s">
        <v>68</v>
      </c>
      <c r="D37" t="s">
        <v>68</v>
      </c>
      <c r="E37" t="s">
        <v>68</v>
      </c>
      <c r="F37" s="6">
        <f>81.85/100</f>
        <v>0.81849999999999989</v>
      </c>
      <c r="G37" s="6">
        <f>0.1448625</f>
        <v>0.14486250000000001</v>
      </c>
      <c r="H37" s="7">
        <f>1-SUM(F37:G37,I37)</f>
        <v>6.6375000000000739E-3</v>
      </c>
      <c r="I37" s="5">
        <v>0.03</v>
      </c>
      <c r="J37" s="9">
        <f t="shared" si="0"/>
        <v>1</v>
      </c>
      <c r="K37" s="6">
        <v>0.88379999999999992</v>
      </c>
      <c r="L37" s="6">
        <v>0.87650000000000006</v>
      </c>
      <c r="M37" s="6">
        <v>0.88790000000000002</v>
      </c>
      <c r="N37" s="6">
        <v>0.96579999999999999</v>
      </c>
      <c r="O37" s="6">
        <v>0.94930000000000003</v>
      </c>
      <c r="P37" s="6">
        <v>0.98499999999999999</v>
      </c>
      <c r="Q37" s="5">
        <v>0.88000000000000012</v>
      </c>
      <c r="R37" s="10">
        <f t="shared" si="6"/>
        <v>0.83600000000000008</v>
      </c>
      <c r="S37" s="10">
        <f t="shared" si="7"/>
        <v>0.87780000000000014</v>
      </c>
    </row>
    <row r="38" spans="1:19" x14ac:dyDescent="0.3">
      <c r="A38" t="s">
        <v>23</v>
      </c>
      <c r="B38" t="s">
        <v>72</v>
      </c>
      <c r="C38" t="s">
        <v>69</v>
      </c>
      <c r="D38" t="s">
        <v>68</v>
      </c>
      <c r="E38" t="s">
        <v>68</v>
      </c>
      <c r="F38" s="6">
        <v>0.75900000000000001</v>
      </c>
      <c r="G38" s="6">
        <v>0.10100000000000001</v>
      </c>
      <c r="H38" s="7">
        <f>1-SUM(F38:G38,I38)</f>
        <v>0</v>
      </c>
      <c r="I38" s="8">
        <v>0.14000000000000001</v>
      </c>
      <c r="J38" s="9">
        <f t="shared" si="0"/>
        <v>1</v>
      </c>
      <c r="K38" s="6">
        <v>0.94140000000000001</v>
      </c>
      <c r="L38" s="6">
        <v>0.92920000000000003</v>
      </c>
      <c r="M38" s="6">
        <v>0.95040000000000002</v>
      </c>
      <c r="N38" s="6">
        <v>0.97010000000000007</v>
      </c>
      <c r="O38" s="6">
        <v>0.96840000000000004</v>
      </c>
      <c r="P38" s="6">
        <v>0.97239999999999993</v>
      </c>
      <c r="Q38" s="5">
        <v>0.68000000000000016</v>
      </c>
      <c r="R38" s="10">
        <f t="shared" si="6"/>
        <v>0.64600000000000013</v>
      </c>
      <c r="S38" s="10">
        <f t="shared" si="7"/>
        <v>0.67830000000000013</v>
      </c>
    </row>
    <row r="39" spans="1:19" x14ac:dyDescent="0.3">
      <c r="A39" t="s">
        <v>24</v>
      </c>
      <c r="B39" t="s">
        <v>73</v>
      </c>
      <c r="C39" t="s">
        <v>69</v>
      </c>
      <c r="D39" t="s">
        <v>68</v>
      </c>
      <c r="E39" t="s">
        <v>68</v>
      </c>
      <c r="F39" s="6">
        <v>0.65300000000000002</v>
      </c>
      <c r="G39" s="6">
        <v>0.02</v>
      </c>
      <c r="H39" s="7">
        <f>1-SUM(F39:G39,I39)</f>
        <v>0.2569999999999999</v>
      </c>
      <c r="I39" s="5">
        <v>7.0000000000000007E-2</v>
      </c>
      <c r="J39" s="9">
        <f t="shared" si="0"/>
        <v>1</v>
      </c>
      <c r="K39" s="6">
        <v>0.89379999999999993</v>
      </c>
      <c r="L39" s="6">
        <v>0.8881</v>
      </c>
      <c r="M39" s="6">
        <v>0.89969999999999994</v>
      </c>
      <c r="N39" s="6">
        <v>0.95799999999999996</v>
      </c>
      <c r="O39" s="6">
        <v>0.9323999999999999</v>
      </c>
      <c r="P39" s="6">
        <v>0.97730000000000006</v>
      </c>
      <c r="Q39" s="5">
        <v>0.82</v>
      </c>
      <c r="R39" s="10">
        <f t="shared" si="6"/>
        <v>0.77899999999999991</v>
      </c>
      <c r="S39" s="10">
        <f t="shared" si="7"/>
        <v>0.81794999999999995</v>
      </c>
    </row>
    <row r="40" spans="1:19" x14ac:dyDescent="0.3">
      <c r="A40" t="s">
        <v>25</v>
      </c>
      <c r="B40" t="s">
        <v>73</v>
      </c>
      <c r="C40" t="s">
        <v>68</v>
      </c>
      <c r="D40" t="s">
        <v>69</v>
      </c>
      <c r="E40" t="s">
        <v>69</v>
      </c>
      <c r="F40" s="5">
        <v>0</v>
      </c>
      <c r="G40" s="5">
        <v>1</v>
      </c>
      <c r="H40" s="5">
        <v>0</v>
      </c>
      <c r="I40" s="5">
        <v>0</v>
      </c>
      <c r="J40" s="9">
        <f t="shared" si="0"/>
        <v>1</v>
      </c>
      <c r="K40" s="5">
        <v>0</v>
      </c>
      <c r="L40" s="5">
        <v>0</v>
      </c>
      <c r="M40" s="5">
        <v>0</v>
      </c>
      <c r="N40" s="5">
        <v>0.95176181599999998</v>
      </c>
      <c r="O40" s="5">
        <f t="shared" ref="O40:O45" si="8">N40*0.95</f>
        <v>0.90417372519999994</v>
      </c>
      <c r="P40" s="5">
        <f>N40*1.05</f>
        <v>0.99934990680000002</v>
      </c>
      <c r="Q40" s="5">
        <v>0</v>
      </c>
      <c r="R40" s="7">
        <v>0</v>
      </c>
      <c r="S40" s="7">
        <f t="shared" si="7"/>
        <v>0</v>
      </c>
    </row>
    <row r="41" spans="1:19" x14ac:dyDescent="0.3">
      <c r="A41" t="s">
        <v>26</v>
      </c>
      <c r="B41" t="s">
        <v>73</v>
      </c>
      <c r="C41" t="s">
        <v>68</v>
      </c>
      <c r="D41" t="s">
        <v>68</v>
      </c>
      <c r="E41" t="s">
        <v>68</v>
      </c>
      <c r="F41" s="6">
        <v>0.66174999999999995</v>
      </c>
      <c r="G41" s="6">
        <f>1.126924/100</f>
        <v>1.126924E-2</v>
      </c>
      <c r="H41" s="7">
        <f>1-SUM(F41:G41,I41)</f>
        <v>0.25398076000000014</v>
      </c>
      <c r="I41" s="5">
        <v>7.2999999999999995E-2</v>
      </c>
      <c r="J41" s="9">
        <f t="shared" si="0"/>
        <v>1</v>
      </c>
      <c r="K41" s="6">
        <v>0.87599999999999989</v>
      </c>
      <c r="L41" s="6">
        <v>0.8206</v>
      </c>
      <c r="M41" s="6">
        <v>0.92709999999999992</v>
      </c>
      <c r="N41" s="5">
        <v>0.95176181599999998</v>
      </c>
      <c r="O41" s="5">
        <f t="shared" si="8"/>
        <v>0.90417372519999994</v>
      </c>
      <c r="P41" s="5">
        <f>N41*1.05</f>
        <v>0.99934990680000002</v>
      </c>
      <c r="Q41" s="5">
        <v>0.875</v>
      </c>
      <c r="R41" s="10">
        <f>Q41*0.95</f>
        <v>0.83124999999999993</v>
      </c>
      <c r="S41" s="10">
        <f t="shared" si="7"/>
        <v>0.87281249999999999</v>
      </c>
    </row>
    <row r="42" spans="1:19" x14ac:dyDescent="0.3">
      <c r="A42" t="s">
        <v>27</v>
      </c>
      <c r="B42" t="s">
        <v>72</v>
      </c>
      <c r="C42" t="s">
        <v>69</v>
      </c>
      <c r="D42" t="s">
        <v>69</v>
      </c>
      <c r="E42" t="s">
        <v>69</v>
      </c>
      <c r="F42">
        <v>0.63800000000000001</v>
      </c>
      <c r="G42">
        <v>6.0999999999999999E-2</v>
      </c>
      <c r="H42" s="7">
        <f>1-SUM(F42:G42,I42)</f>
        <v>0.21199999999999997</v>
      </c>
      <c r="I42">
        <v>8.8999999999999996E-2</v>
      </c>
      <c r="J42" s="9">
        <f t="shared" si="0"/>
        <v>1</v>
      </c>
      <c r="K42">
        <v>0.81</v>
      </c>
      <c r="L42" s="4">
        <f>K42*0.95</f>
        <v>0.76949999999999996</v>
      </c>
      <c r="M42" s="4">
        <f>L42*1.05</f>
        <v>0.807975</v>
      </c>
      <c r="N42">
        <v>0.93</v>
      </c>
      <c r="O42">
        <f t="shared" si="8"/>
        <v>0.88349999999999995</v>
      </c>
      <c r="P42">
        <f>MIN(N42*1.05, 0.995)</f>
        <v>0.97650000000000015</v>
      </c>
      <c r="Q42">
        <v>0.72</v>
      </c>
      <c r="R42" s="4">
        <f>Q42*0.95</f>
        <v>0.68399999999999994</v>
      </c>
      <c r="S42" s="4">
        <f t="shared" si="7"/>
        <v>0.71819999999999995</v>
      </c>
    </row>
    <row r="43" spans="1:19" x14ac:dyDescent="0.3">
      <c r="A43" t="s">
        <v>28</v>
      </c>
      <c r="B43" t="s">
        <v>73</v>
      </c>
      <c r="C43" t="s">
        <v>69</v>
      </c>
      <c r="D43" t="s">
        <v>69</v>
      </c>
      <c r="E43" t="s">
        <v>69</v>
      </c>
      <c r="F43">
        <v>0.32400000000000001</v>
      </c>
      <c r="G43">
        <v>2.1999999999999999E-2</v>
      </c>
      <c r="H43">
        <v>0.58299999999999996</v>
      </c>
      <c r="I43">
        <v>7.0999999999999994E-2</v>
      </c>
      <c r="J43" s="9">
        <f t="shared" si="0"/>
        <v>1</v>
      </c>
      <c r="K43">
        <v>0.87</v>
      </c>
      <c r="L43" s="4">
        <f>K43*0.95</f>
        <v>0.82650000000000001</v>
      </c>
      <c r="M43" s="4">
        <f>L43*1.05</f>
        <v>0.86782500000000007</v>
      </c>
      <c r="N43">
        <v>0.93</v>
      </c>
      <c r="O43">
        <f t="shared" si="8"/>
        <v>0.88349999999999995</v>
      </c>
      <c r="P43">
        <f>MIN(N43*1.05, 0.995)</f>
        <v>0.97650000000000015</v>
      </c>
      <c r="Q43">
        <v>0.61</v>
      </c>
      <c r="R43" s="4">
        <f>Q43*0.95</f>
        <v>0.57950000000000002</v>
      </c>
      <c r="S43" s="4">
        <f t="shared" si="7"/>
        <v>0.60847499999999999</v>
      </c>
    </row>
    <row r="44" spans="1:19" x14ac:dyDescent="0.3">
      <c r="A44" t="s">
        <v>29</v>
      </c>
      <c r="B44" t="s">
        <v>73</v>
      </c>
      <c r="C44" t="s">
        <v>69</v>
      </c>
      <c r="D44" t="s">
        <v>69</v>
      </c>
      <c r="E44" t="s">
        <v>69</v>
      </c>
      <c r="F44">
        <v>0.377</v>
      </c>
      <c r="G44">
        <v>1.7999999999999999E-2</v>
      </c>
      <c r="H44">
        <v>0.52800000000000002</v>
      </c>
      <c r="I44">
        <v>7.6999999999999999E-2</v>
      </c>
      <c r="J44" s="9">
        <f t="shared" si="0"/>
        <v>1</v>
      </c>
      <c r="K44">
        <v>0.87</v>
      </c>
      <c r="L44" s="4">
        <f>K44*0.95</f>
        <v>0.82650000000000001</v>
      </c>
      <c r="M44" s="4">
        <f>L44*1.05</f>
        <v>0.86782500000000007</v>
      </c>
      <c r="N44">
        <v>0.93</v>
      </c>
      <c r="O44">
        <f t="shared" si="8"/>
        <v>0.88349999999999995</v>
      </c>
      <c r="P44">
        <f>MIN(N44*1.05, 0.995)</f>
        <v>0.97650000000000015</v>
      </c>
      <c r="Q44">
        <v>0.61</v>
      </c>
      <c r="R44" s="4">
        <f>Q44*0.95</f>
        <v>0.57950000000000002</v>
      </c>
      <c r="S44" s="4">
        <f t="shared" si="7"/>
        <v>0.60847499999999999</v>
      </c>
    </row>
    <row r="45" spans="1:19" x14ac:dyDescent="0.3">
      <c r="A45" t="s">
        <v>30</v>
      </c>
      <c r="B45" t="s">
        <v>73</v>
      </c>
      <c r="C45" t="s">
        <v>69</v>
      </c>
      <c r="D45" t="s">
        <v>69</v>
      </c>
      <c r="E45" t="s">
        <v>69</v>
      </c>
      <c r="F45">
        <v>2.9000000000000001E-2</v>
      </c>
      <c r="G45">
        <v>7.0000000000000001E-3</v>
      </c>
      <c r="H45">
        <v>0.92500000000000004</v>
      </c>
      <c r="I45">
        <v>3.9E-2</v>
      </c>
      <c r="J45" s="9">
        <f t="shared" si="0"/>
        <v>1</v>
      </c>
      <c r="K45">
        <v>0.84000000000000008</v>
      </c>
      <c r="L45" s="4">
        <f>K45*0.95</f>
        <v>0.79800000000000004</v>
      </c>
      <c r="M45" s="4">
        <f>L45*1.05</f>
        <v>0.83790000000000009</v>
      </c>
      <c r="N45">
        <v>0.93</v>
      </c>
      <c r="O45">
        <f t="shared" si="8"/>
        <v>0.88349999999999995</v>
      </c>
      <c r="P45">
        <f>MIN(N45*1.05, 0.995)</f>
        <v>0.97650000000000015</v>
      </c>
      <c r="Q45">
        <v>0.7</v>
      </c>
      <c r="R45" s="4">
        <f>Q45*0.95</f>
        <v>0.66499999999999992</v>
      </c>
      <c r="S45" s="4">
        <f t="shared" si="7"/>
        <v>0.69824999999999993</v>
      </c>
    </row>
    <row r="46" spans="1:19" x14ac:dyDescent="0.3">
      <c r="A46" t="s">
        <v>113</v>
      </c>
      <c r="B46" t="s">
        <v>74</v>
      </c>
      <c r="C46" t="s">
        <v>68</v>
      </c>
      <c r="D46" t="s">
        <v>69</v>
      </c>
      <c r="E46" t="s">
        <v>69</v>
      </c>
      <c r="F46" s="5">
        <f>AVERAGE('trash fish table'!F2:F6)</f>
        <v>0.56830740870546492</v>
      </c>
      <c r="G46" s="5">
        <f>AVERAGE('trash fish table'!G2:G6)</f>
        <v>0.2240987667741102</v>
      </c>
      <c r="H46" s="5">
        <f>AVERAGE('trash fish table'!I2:I6)</f>
        <v>9.0773327441505319E-2</v>
      </c>
      <c r="I46" s="5">
        <f>AVERAGE('trash fish table'!H2:H6)</f>
        <v>0.11682049707891951</v>
      </c>
      <c r="J46" s="9">
        <f t="shared" si="0"/>
        <v>1</v>
      </c>
      <c r="K46" s="10">
        <v>0.87980000000000003</v>
      </c>
      <c r="L46" s="10">
        <v>0.82969999999999999</v>
      </c>
      <c r="M46" s="10">
        <v>0.92209999999999992</v>
      </c>
      <c r="N46" s="10">
        <v>0.95669999999999999</v>
      </c>
      <c r="O46" s="10">
        <v>0.8993000000000001</v>
      </c>
      <c r="P46" s="10">
        <v>0.99199999999999999</v>
      </c>
      <c r="Q46" s="10">
        <f>83.3/100</f>
        <v>0.83299999999999996</v>
      </c>
      <c r="R46" s="10">
        <f>74.5/100</f>
        <v>0.745</v>
      </c>
      <c r="S46" s="10">
        <f>92.6/100</f>
        <v>0.92599999999999993</v>
      </c>
    </row>
    <row r="47" spans="1:19" x14ac:dyDescent="0.3">
      <c r="A47" t="s">
        <v>31</v>
      </c>
      <c r="B47" t="s">
        <v>73</v>
      </c>
      <c r="C47" t="s">
        <v>68</v>
      </c>
      <c r="D47" t="s">
        <v>68</v>
      </c>
      <c r="E47" t="s">
        <v>69</v>
      </c>
      <c r="F47" s="5">
        <v>0.13</v>
      </c>
      <c r="G47" s="5">
        <v>0.02</v>
      </c>
      <c r="H47" s="7">
        <f>1-SUM(F47:G47,I47)</f>
        <v>0.83000000000000007</v>
      </c>
      <c r="I47" s="5">
        <v>0.02</v>
      </c>
      <c r="J47" s="9">
        <f t="shared" si="0"/>
        <v>1</v>
      </c>
      <c r="K47" s="5">
        <v>0.9</v>
      </c>
      <c r="L47" s="10">
        <f>K47*0.94</f>
        <v>0.84599999999999997</v>
      </c>
      <c r="M47" s="10">
        <f>L47*1.06</f>
        <v>0.89676</v>
      </c>
      <c r="N47" s="5">
        <v>0.95176181599999998</v>
      </c>
      <c r="O47" s="5">
        <f>N47*0.95</f>
        <v>0.90417372519999994</v>
      </c>
      <c r="P47" s="5">
        <f>N47*1.05</f>
        <v>0.99934990680000002</v>
      </c>
      <c r="Q47" s="5">
        <v>0.8</v>
      </c>
      <c r="R47" s="10">
        <f>Q47*0.95</f>
        <v>0.76</v>
      </c>
      <c r="S47" s="10">
        <f>R47*1.05</f>
        <v>0.79800000000000004</v>
      </c>
    </row>
    <row r="48" spans="1:19" x14ac:dyDescent="0.3">
      <c r="A48" t="s">
        <v>32</v>
      </c>
      <c r="B48" t="s">
        <v>73</v>
      </c>
      <c r="C48" t="s">
        <v>68</v>
      </c>
      <c r="D48" t="s">
        <v>68</v>
      </c>
      <c r="E48" t="s">
        <v>69</v>
      </c>
      <c r="F48" s="5">
        <f>766/1000</f>
        <v>0.76600000000000001</v>
      </c>
      <c r="G48" s="5">
        <f>74/1000</f>
        <v>7.3999999999999996E-2</v>
      </c>
      <c r="H48" s="7">
        <f>1-SUM(F48:G48,I48)</f>
        <v>0.15300000000000002</v>
      </c>
      <c r="I48" s="5">
        <f>7/1000</f>
        <v>7.0000000000000001E-3</v>
      </c>
      <c r="J48" s="9">
        <f t="shared" si="0"/>
        <v>1</v>
      </c>
      <c r="K48" s="5">
        <v>0.89</v>
      </c>
      <c r="L48" s="10">
        <f>K48*0.94</f>
        <v>0.83660000000000001</v>
      </c>
      <c r="M48" s="10">
        <f>L48*1.06</f>
        <v>0.88679600000000003</v>
      </c>
      <c r="N48" s="5">
        <v>0.95176181599999998</v>
      </c>
      <c r="O48" s="5">
        <f>N48*0.95</f>
        <v>0.90417372519999994</v>
      </c>
      <c r="P48" s="5">
        <f>N48*1.05</f>
        <v>0.99934990680000002</v>
      </c>
      <c r="Q48" s="5">
        <v>0.75</v>
      </c>
      <c r="R48" s="10">
        <f>Q48*0.95</f>
        <v>0.71249999999999991</v>
      </c>
      <c r="S48" s="10">
        <f>R48*1.05</f>
        <v>0.74812499999999993</v>
      </c>
    </row>
    <row r="49" spans="1:19" x14ac:dyDescent="0.3">
      <c r="A49" t="s">
        <v>33</v>
      </c>
      <c r="B49" t="s">
        <v>72</v>
      </c>
      <c r="C49" t="s">
        <v>69</v>
      </c>
      <c r="D49" t="s">
        <v>69</v>
      </c>
      <c r="E49" t="s">
        <v>69</v>
      </c>
      <c r="F49">
        <v>0.48</v>
      </c>
      <c r="G49">
        <v>0.04</v>
      </c>
      <c r="H49">
        <v>0.41</v>
      </c>
      <c r="I49">
        <v>7.0000000000000007E-2</v>
      </c>
      <c r="J49" s="9">
        <f t="shared" si="0"/>
        <v>1</v>
      </c>
      <c r="K49">
        <v>0.82000000000000006</v>
      </c>
      <c r="L49" s="4">
        <f>K49*0.95</f>
        <v>0.77900000000000003</v>
      </c>
      <c r="M49" s="4">
        <f>L49*1.05</f>
        <v>0.81795000000000007</v>
      </c>
      <c r="N49">
        <v>0.93</v>
      </c>
      <c r="O49">
        <f>N49*0.95</f>
        <v>0.88349999999999995</v>
      </c>
      <c r="P49">
        <f>MIN(N49*1.05, 0.995)</f>
        <v>0.97650000000000015</v>
      </c>
      <c r="Q49">
        <v>0.7</v>
      </c>
      <c r="R49" s="4">
        <f>Q49*0.95</f>
        <v>0.66499999999999992</v>
      </c>
      <c r="S49" s="4">
        <f>R49*1.05</f>
        <v>0.69824999999999993</v>
      </c>
    </row>
    <row r="50" spans="1:19" x14ac:dyDescent="0.3">
      <c r="A50" t="s">
        <v>116</v>
      </c>
      <c r="B50" t="s">
        <v>73</v>
      </c>
      <c r="E50" t="s">
        <v>69</v>
      </c>
      <c r="F50" s="5">
        <v>0.53300000000000003</v>
      </c>
      <c r="G50" s="5">
        <v>2.1000000000000001E-2</v>
      </c>
      <c r="H50" s="9">
        <f>1-F50-G50-I50</f>
        <v>0.37699999999999995</v>
      </c>
      <c r="I50" s="5">
        <v>6.9000000000000006E-2</v>
      </c>
      <c r="J50" s="9">
        <f t="shared" si="0"/>
        <v>1</v>
      </c>
      <c r="K50" s="16">
        <v>0.81</v>
      </c>
      <c r="L50" s="4">
        <f>K50*0.95</f>
        <v>0.76949999999999996</v>
      </c>
      <c r="M50" s="4">
        <f>L50*1.05</f>
        <v>0.807975</v>
      </c>
      <c r="N50">
        <v>0.96</v>
      </c>
      <c r="O50" s="4">
        <f>N50*0.95</f>
        <v>0.91199999999999992</v>
      </c>
      <c r="P50" s="4">
        <f>O50*1.05</f>
        <v>0.95760000000000001</v>
      </c>
      <c r="Q50">
        <v>0.71</v>
      </c>
      <c r="R50" s="4">
        <f>Q50*0.95</f>
        <v>0.67449999999999999</v>
      </c>
      <c r="S50" s="4">
        <f>R50*1.05</f>
        <v>0.70822499999999999</v>
      </c>
    </row>
    <row r="51" spans="1:19" x14ac:dyDescent="0.3">
      <c r="A51" t="s">
        <v>118</v>
      </c>
      <c r="B51" t="s">
        <v>74</v>
      </c>
      <c r="E51" t="s">
        <v>69</v>
      </c>
      <c r="F51" s="16">
        <v>0.69</v>
      </c>
      <c r="G51" s="16">
        <v>0.05</v>
      </c>
      <c r="H51" s="9">
        <f>1-F51-G51-I51</f>
        <v>0.21000000000000008</v>
      </c>
      <c r="I51" s="16">
        <v>0.05</v>
      </c>
      <c r="J51" s="9">
        <f t="shared" si="0"/>
        <v>1</v>
      </c>
      <c r="K51" s="10">
        <v>0.83</v>
      </c>
      <c r="L51" s="10">
        <f>K51*0.95</f>
        <v>0.78849999999999998</v>
      </c>
      <c r="M51" s="10">
        <f>K51*1.05</f>
        <v>0.87149999999999994</v>
      </c>
      <c r="N51" s="10">
        <v>0.95669999999999999</v>
      </c>
      <c r="O51" s="10">
        <v>0.8993000000000001</v>
      </c>
      <c r="P51" s="10">
        <v>0.99199999999999999</v>
      </c>
      <c r="Q51" s="10">
        <f>81.7/100</f>
        <v>0.81700000000000006</v>
      </c>
      <c r="R51" s="10">
        <f>71.8/100</f>
        <v>0.71799999999999997</v>
      </c>
      <c r="S51" s="10">
        <f>91.6/100</f>
        <v>0.91599999999999993</v>
      </c>
    </row>
    <row r="52" spans="1:19" x14ac:dyDescent="0.3">
      <c r="A52" s="17" t="s">
        <v>119</v>
      </c>
      <c r="B52" t="s">
        <v>74</v>
      </c>
      <c r="E52" t="s">
        <v>69</v>
      </c>
      <c r="F52" s="5">
        <v>0</v>
      </c>
      <c r="G52" s="5">
        <v>1</v>
      </c>
      <c r="H52">
        <v>0</v>
      </c>
      <c r="I52" s="5">
        <v>0</v>
      </c>
      <c r="J52" s="9">
        <f t="shared" si="0"/>
        <v>1</v>
      </c>
      <c r="K52" s="9">
        <v>0</v>
      </c>
      <c r="L52" s="9">
        <v>0</v>
      </c>
      <c r="M52" s="9">
        <v>0</v>
      </c>
      <c r="N52" s="9">
        <v>0.96</v>
      </c>
      <c r="O52">
        <f>N52*0.95</f>
        <v>0.91199999999999992</v>
      </c>
      <c r="P52">
        <f>N52*1.05</f>
        <v>1.008</v>
      </c>
      <c r="Q52" s="9">
        <v>0</v>
      </c>
      <c r="R52" s="9">
        <v>0</v>
      </c>
      <c r="S52" s="9">
        <v>0</v>
      </c>
    </row>
    <row r="53" spans="1:19" x14ac:dyDescent="0.3">
      <c r="A53" s="17" t="s">
        <v>122</v>
      </c>
      <c r="B53" t="s">
        <v>73</v>
      </c>
      <c r="E53" t="s">
        <v>69</v>
      </c>
      <c r="F53" s="18">
        <v>0.224</v>
      </c>
      <c r="G53" s="5">
        <v>9.8000000000000004E-2</v>
      </c>
      <c r="H53" s="18">
        <f>1-I53-F53-G53</f>
        <v>0.61</v>
      </c>
      <c r="I53" s="5">
        <v>6.8000000000000005E-2</v>
      </c>
      <c r="J53" s="9">
        <f t="shared" si="0"/>
        <v>1</v>
      </c>
      <c r="K53" s="18">
        <v>0.70899999999999996</v>
      </c>
      <c r="N53">
        <v>0.96</v>
      </c>
      <c r="Q53" s="18">
        <v>0.55500000000000005</v>
      </c>
    </row>
    <row r="54" spans="1:19" x14ac:dyDescent="0.3">
      <c r="A54" t="s">
        <v>120</v>
      </c>
      <c r="B54" t="s">
        <v>73</v>
      </c>
      <c r="E54" t="s">
        <v>69</v>
      </c>
      <c r="F54">
        <v>0.14199999999999999</v>
      </c>
      <c r="G54" s="5">
        <v>0.13200000000000001</v>
      </c>
      <c r="H54" s="9">
        <f>1-F54-G54-I54</f>
        <v>0.65700000000000003</v>
      </c>
      <c r="I54" s="5">
        <v>6.9000000000000006E-2</v>
      </c>
      <c r="J54" s="9">
        <f t="shared" si="0"/>
        <v>1</v>
      </c>
      <c r="K54" s="9">
        <v>0.79500000000000004</v>
      </c>
      <c r="N54">
        <v>0.96</v>
      </c>
      <c r="Q54" s="18">
        <v>0.83699999999999997</v>
      </c>
    </row>
    <row r="55" spans="1:19" x14ac:dyDescent="0.3">
      <c r="A55" t="s">
        <v>121</v>
      </c>
      <c r="B55" t="s">
        <v>73</v>
      </c>
      <c r="E55" t="s">
        <v>69</v>
      </c>
      <c r="F55">
        <v>0.17299999999999999</v>
      </c>
      <c r="G55" s="5">
        <v>3.7999999999999999E-2</v>
      </c>
      <c r="H55" s="9">
        <f>1-F55-G55-I55</f>
        <v>0.73299999999999987</v>
      </c>
      <c r="I55" s="5">
        <v>5.6000000000000001E-2</v>
      </c>
      <c r="J55" s="9">
        <f t="shared" si="0"/>
        <v>0.99999999999999989</v>
      </c>
      <c r="K55" s="9">
        <v>0.64900000000000002</v>
      </c>
      <c r="N55">
        <v>0.96</v>
      </c>
      <c r="Q55">
        <v>0.57099999999999995</v>
      </c>
    </row>
  </sheetData>
  <autoFilter ref="A1:S55" xr:uid="{FEB86C80-6855-4296-9746-1E92B0D65FFA}"/>
  <conditionalFormatting sqref="K2:S38">
    <cfRule type="cellIs" dxfId="8" priority="7" operator="greaterThan">
      <formula>1</formula>
    </cfRule>
  </conditionalFormatting>
  <conditionalFormatting sqref="K48:S49">
    <cfRule type="cellIs" dxfId="7" priority="5" operator="greaterThan">
      <formula>1</formula>
    </cfRule>
  </conditionalFormatting>
  <conditionalFormatting sqref="K51:S51">
    <cfRule type="cellIs" dxfId="6" priority="1" operator="greaterThan">
      <formula>1</formula>
    </cfRule>
  </conditionalFormatting>
  <conditionalFormatting sqref="L50:M50">
    <cfRule type="cellIs" dxfId="5" priority="4" operator="greaterThan">
      <formula>1</formula>
    </cfRule>
  </conditionalFormatting>
  <conditionalFormatting sqref="O50:P50">
    <cfRule type="cellIs" dxfId="4" priority="3" operator="greaterThan">
      <formula>1</formula>
    </cfRule>
  </conditionalFormatting>
  <conditionalFormatting sqref="R50:S50">
    <cfRule type="cellIs" dxfId="3" priority="2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7DA89-E85F-4597-B94B-473613FC79D7}">
  <dimension ref="A1:D48"/>
  <sheetViews>
    <sheetView topLeftCell="A10" zoomScale="85" zoomScaleNormal="85" workbookViewId="0">
      <selection activeCell="C48" sqref="C48"/>
    </sheetView>
  </sheetViews>
  <sheetFormatPr defaultRowHeight="14.4" x14ac:dyDescent="0.3"/>
  <cols>
    <col min="1" max="1" width="25.33203125" bestFit="1" customWidth="1"/>
    <col min="2" max="2" width="8.44140625" bestFit="1" customWidth="1"/>
    <col min="3" max="3" width="111.88671875" bestFit="1" customWidth="1"/>
  </cols>
  <sheetData>
    <row r="1" spans="1:4" x14ac:dyDescent="0.3">
      <c r="A1" t="s">
        <v>0</v>
      </c>
      <c r="B1" t="s">
        <v>77</v>
      </c>
      <c r="C1" t="s">
        <v>79</v>
      </c>
      <c r="D1" t="s">
        <v>78</v>
      </c>
    </row>
    <row r="2" spans="1:4" x14ac:dyDescent="0.3">
      <c r="A2" s="4" t="s">
        <v>92</v>
      </c>
      <c r="B2" s="4"/>
      <c r="C2" s="4" t="s">
        <v>65</v>
      </c>
    </row>
    <row r="3" spans="1:4" x14ac:dyDescent="0.3">
      <c r="A3" s="3" t="s">
        <v>91</v>
      </c>
      <c r="B3" s="3"/>
      <c r="C3" s="3" t="s">
        <v>90</v>
      </c>
    </row>
    <row r="4" spans="1:4" x14ac:dyDescent="0.3">
      <c r="A4" t="s">
        <v>47</v>
      </c>
      <c r="B4" t="s">
        <v>68</v>
      </c>
      <c r="C4" t="s">
        <v>85</v>
      </c>
    </row>
    <row r="5" spans="1:4" x14ac:dyDescent="0.3">
      <c r="A5" t="s">
        <v>48</v>
      </c>
      <c r="B5" t="s">
        <v>68</v>
      </c>
      <c r="C5" t="s">
        <v>60</v>
      </c>
    </row>
    <row r="6" spans="1:4" x14ac:dyDescent="0.3">
      <c r="A6" t="s">
        <v>1</v>
      </c>
      <c r="B6" t="s">
        <v>69</v>
      </c>
    </row>
    <row r="7" spans="1:4" x14ac:dyDescent="0.3">
      <c r="A7" t="s">
        <v>2</v>
      </c>
      <c r="B7" t="s">
        <v>69</v>
      </c>
      <c r="C7" t="s">
        <v>60</v>
      </c>
    </row>
    <row r="8" spans="1:4" x14ac:dyDescent="0.3">
      <c r="A8" t="s">
        <v>3</v>
      </c>
      <c r="B8" t="s">
        <v>68</v>
      </c>
      <c r="C8" t="s">
        <v>82</v>
      </c>
    </row>
    <row r="9" spans="1:4" x14ac:dyDescent="0.3">
      <c r="A9" t="s">
        <v>4</v>
      </c>
      <c r="B9" t="s">
        <v>69</v>
      </c>
    </row>
    <row r="10" spans="1:4" x14ac:dyDescent="0.3">
      <c r="A10" t="s">
        <v>5</v>
      </c>
      <c r="B10" t="s">
        <v>69</v>
      </c>
    </row>
    <row r="11" spans="1:4" x14ac:dyDescent="0.3">
      <c r="A11" t="s">
        <v>6</v>
      </c>
      <c r="B11" t="s">
        <v>69</v>
      </c>
    </row>
    <row r="12" spans="1:4" x14ac:dyDescent="0.3">
      <c r="A12" t="s">
        <v>7</v>
      </c>
      <c r="B12" t="s">
        <v>68</v>
      </c>
      <c r="C12" t="s">
        <v>80</v>
      </c>
    </row>
    <row r="13" spans="1:4" x14ac:dyDescent="0.3">
      <c r="A13" t="s">
        <v>8</v>
      </c>
      <c r="B13" t="s">
        <v>68</v>
      </c>
      <c r="C13" s="1" t="s">
        <v>63</v>
      </c>
    </row>
    <row r="14" spans="1:4" x14ac:dyDescent="0.3">
      <c r="A14" t="s">
        <v>9</v>
      </c>
      <c r="B14" t="s">
        <v>68</v>
      </c>
      <c r="C14" s="1" t="s">
        <v>64</v>
      </c>
    </row>
    <row r="15" spans="1:4" x14ac:dyDescent="0.3">
      <c r="A15" t="s">
        <v>10</v>
      </c>
      <c r="B15" t="s">
        <v>68</v>
      </c>
      <c r="C15" t="s">
        <v>83</v>
      </c>
    </row>
    <row r="16" spans="1:4" x14ac:dyDescent="0.3">
      <c r="A16" t="s">
        <v>11</v>
      </c>
      <c r="B16" t="s">
        <v>68</v>
      </c>
      <c r="C16" t="s">
        <v>83</v>
      </c>
    </row>
    <row r="17" spans="1:3" x14ac:dyDescent="0.3">
      <c r="A17" t="s">
        <v>12</v>
      </c>
      <c r="B17" t="s">
        <v>68</v>
      </c>
      <c r="C17" t="s">
        <v>81</v>
      </c>
    </row>
    <row r="18" spans="1:3" x14ac:dyDescent="0.3">
      <c r="A18" t="s">
        <v>13</v>
      </c>
      <c r="B18" t="s">
        <v>69</v>
      </c>
    </row>
    <row r="19" spans="1:3" x14ac:dyDescent="0.3">
      <c r="A19" t="s">
        <v>49</v>
      </c>
      <c r="B19" t="s">
        <v>68</v>
      </c>
      <c r="C19" s="1" t="s">
        <v>59</v>
      </c>
    </row>
    <row r="20" spans="1:3" x14ac:dyDescent="0.3">
      <c r="A20" t="s">
        <v>14</v>
      </c>
      <c r="B20" t="s">
        <v>68</v>
      </c>
      <c r="C20" t="s">
        <v>62</v>
      </c>
    </row>
    <row r="21" spans="1:3" x14ac:dyDescent="0.3">
      <c r="A21" t="s">
        <v>15</v>
      </c>
      <c r="B21" t="s">
        <v>69</v>
      </c>
    </row>
    <row r="22" spans="1:3" x14ac:dyDescent="0.3">
      <c r="A22" t="s">
        <v>50</v>
      </c>
      <c r="B22" t="s">
        <v>68</v>
      </c>
      <c r="C22" t="s">
        <v>61</v>
      </c>
    </row>
    <row r="23" spans="1:3" x14ac:dyDescent="0.3">
      <c r="A23" t="s">
        <v>16</v>
      </c>
      <c r="B23" t="s">
        <v>68</v>
      </c>
    </row>
    <row r="24" spans="1:3" x14ac:dyDescent="0.3">
      <c r="A24" t="s">
        <v>66</v>
      </c>
      <c r="B24" t="s">
        <v>69</v>
      </c>
    </row>
    <row r="25" spans="1:3" x14ac:dyDescent="0.3">
      <c r="A25" t="s">
        <v>17</v>
      </c>
      <c r="B25" t="s">
        <v>68</v>
      </c>
    </row>
    <row r="26" spans="1:3" x14ac:dyDescent="0.3">
      <c r="A26" t="s">
        <v>18</v>
      </c>
      <c r="B26" t="s">
        <v>69</v>
      </c>
    </row>
    <row r="27" spans="1:3" x14ac:dyDescent="0.3">
      <c r="A27" t="s">
        <v>19</v>
      </c>
      <c r="B27" t="s">
        <v>69</v>
      </c>
    </row>
    <row r="28" spans="1:3" x14ac:dyDescent="0.3">
      <c r="A28" t="s">
        <v>20</v>
      </c>
      <c r="B28" t="s">
        <v>68</v>
      </c>
    </row>
    <row r="29" spans="1:3" x14ac:dyDescent="0.3">
      <c r="A29" t="s">
        <v>21</v>
      </c>
      <c r="B29" t="s">
        <v>68</v>
      </c>
      <c r="C29" t="s">
        <v>84</v>
      </c>
    </row>
    <row r="30" spans="1:3" x14ac:dyDescent="0.3">
      <c r="A30" t="s">
        <v>51</v>
      </c>
      <c r="B30" t="s">
        <v>68</v>
      </c>
      <c r="C30" t="s">
        <v>84</v>
      </c>
    </row>
    <row r="31" spans="1:3" x14ac:dyDescent="0.3">
      <c r="A31" t="s">
        <v>52</v>
      </c>
      <c r="B31" t="s">
        <v>68</v>
      </c>
      <c r="C31" t="s">
        <v>84</v>
      </c>
    </row>
    <row r="32" spans="1:3" x14ac:dyDescent="0.3">
      <c r="A32" t="s">
        <v>22</v>
      </c>
      <c r="B32" t="s">
        <v>69</v>
      </c>
    </row>
    <row r="33" spans="1:4" x14ac:dyDescent="0.3">
      <c r="A33" t="s">
        <v>23</v>
      </c>
      <c r="B33" t="s">
        <v>69</v>
      </c>
    </row>
    <row r="34" spans="1:4" x14ac:dyDescent="0.3">
      <c r="A34" t="s">
        <v>24</v>
      </c>
      <c r="B34" t="s">
        <v>69</v>
      </c>
    </row>
    <row r="35" spans="1:4" x14ac:dyDescent="0.3">
      <c r="A35" t="s">
        <v>25</v>
      </c>
      <c r="B35" t="s">
        <v>69</v>
      </c>
    </row>
    <row r="36" spans="1:4" x14ac:dyDescent="0.3">
      <c r="A36" t="s">
        <v>26</v>
      </c>
      <c r="B36" t="s">
        <v>68</v>
      </c>
      <c r="C36" s="1" t="s">
        <v>58</v>
      </c>
    </row>
    <row r="37" spans="1:4" x14ac:dyDescent="0.3">
      <c r="A37" t="s">
        <v>27</v>
      </c>
      <c r="B37" t="s">
        <v>69</v>
      </c>
      <c r="C37" s="1" t="s">
        <v>56</v>
      </c>
      <c r="D37" t="s">
        <v>57</v>
      </c>
    </row>
    <row r="38" spans="1:4" x14ac:dyDescent="0.3">
      <c r="A38" t="s">
        <v>28</v>
      </c>
      <c r="B38" t="s">
        <v>69</v>
      </c>
      <c r="C38" s="1" t="s">
        <v>55</v>
      </c>
    </row>
    <row r="39" spans="1:4" x14ac:dyDescent="0.3">
      <c r="A39" t="s">
        <v>29</v>
      </c>
      <c r="B39" t="s">
        <v>69</v>
      </c>
      <c r="C39" s="1" t="s">
        <v>54</v>
      </c>
    </row>
    <row r="40" spans="1:4" x14ac:dyDescent="0.3">
      <c r="A40" t="s">
        <v>30</v>
      </c>
      <c r="B40" t="s">
        <v>69</v>
      </c>
      <c r="C40" s="1" t="s">
        <v>53</v>
      </c>
    </row>
    <row r="41" spans="1:4" x14ac:dyDescent="0.3">
      <c r="A41" t="s">
        <v>31</v>
      </c>
      <c r="B41" t="s">
        <v>68</v>
      </c>
    </row>
    <row r="42" spans="1:4" x14ac:dyDescent="0.3">
      <c r="A42" t="s">
        <v>32</v>
      </c>
      <c r="B42" t="s">
        <v>68</v>
      </c>
      <c r="C42" t="s">
        <v>70</v>
      </c>
    </row>
    <row r="43" spans="1:4" x14ac:dyDescent="0.3">
      <c r="A43" t="s">
        <v>33</v>
      </c>
      <c r="B43" t="s">
        <v>69</v>
      </c>
    </row>
    <row r="44" spans="1:4" x14ac:dyDescent="0.3">
      <c r="A44" t="s">
        <v>116</v>
      </c>
      <c r="C44" t="s">
        <v>117</v>
      </c>
    </row>
    <row r="45" spans="1:4" x14ac:dyDescent="0.3">
      <c r="A45" t="s">
        <v>118</v>
      </c>
      <c r="C45" t="s">
        <v>123</v>
      </c>
    </row>
    <row r="46" spans="1:4" x14ac:dyDescent="0.3">
      <c r="A46" t="s">
        <v>122</v>
      </c>
      <c r="C46" s="1" t="s">
        <v>124</v>
      </c>
    </row>
    <row r="47" spans="1:4" x14ac:dyDescent="0.3">
      <c r="A47" t="s">
        <v>120</v>
      </c>
      <c r="C47" s="1" t="s">
        <v>125</v>
      </c>
    </row>
    <row r="48" spans="1:4" x14ac:dyDescent="0.3">
      <c r="A48" t="s">
        <v>121</v>
      </c>
      <c r="C48" s="1" t="s">
        <v>126</v>
      </c>
    </row>
  </sheetData>
  <autoFilter ref="A1:D43" xr:uid="{BA17DA89-E85F-4597-B94B-473613FC79D7}">
    <sortState xmlns:xlrd2="http://schemas.microsoft.com/office/spreadsheetml/2017/richdata2" ref="A2:D43">
      <sortCondition ref="A1:A43"/>
    </sortState>
  </autoFilter>
  <hyperlinks>
    <hyperlink ref="C40" r:id="rId1" display="https://www.feedipedia.org/node/527" xr:uid="{9D796F16-2A55-41F2-B066-40FB62D78DA3}"/>
    <hyperlink ref="C39" r:id="rId2" display="https://www.feedipedia.org/node/12806" xr:uid="{0D3F6475-3F7E-4230-BF5D-1B1A9D67D318}"/>
    <hyperlink ref="C38" r:id="rId3" display="https://www.feedipedia.org/node/12663" xr:uid="{850085C4-4E6D-4C43-806A-BA1985D7CE16}"/>
    <hyperlink ref="C37" r:id="rId4" display="https://www.feedipedia.org/node/67" xr:uid="{679D6967-9E8A-4CC2-9A7F-D066F495C0D1}"/>
    <hyperlink ref="C36" r:id="rId5" display="https://www.feedipedia.org/node/11683" xr:uid="{D8DFDFB1-7112-4CB0-892D-35C58DF37EC7}"/>
    <hyperlink ref="C19" r:id="rId6" display="https://www.feedipedia.org/node/11574" xr:uid="{9C3D8932-B7C3-4F23-B5AF-0CCF9B1CF004}"/>
    <hyperlink ref="C13" r:id="rId7" xr:uid="{731F2494-EBD0-4189-90DD-144FE15605E0}"/>
    <hyperlink ref="C14" r:id="rId8" display="https://www.feedipedia.org/node/11687" xr:uid="{0ABC761E-265E-4D42-A75F-0D6FCBFE9A86}"/>
    <hyperlink ref="C46" r:id="rId9" display="https://www.feedipedia.org/node/46" xr:uid="{5AEB9992-3974-4C33-AF56-94BD939A9DFA}"/>
    <hyperlink ref="C47" r:id="rId10" display="https://www.feedipedia.org/node/750" xr:uid="{FBED61B3-6D1C-4C1F-9A17-05EB5A4A4C2D}"/>
    <hyperlink ref="C48" r:id="rId11" display="https://www.feedipedia.org/node/726" xr:uid="{1002B60E-2DED-4A45-AD21-8B1B21F8BC8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4B3A-46F9-4785-9048-D2776F4369B1}">
  <sheetPr>
    <outlinePr summaryBelow="0" summaryRight="0"/>
  </sheetPr>
  <dimension ref="A1:I1000"/>
  <sheetViews>
    <sheetView workbookViewId="0">
      <selection activeCell="A20" sqref="A20"/>
    </sheetView>
  </sheetViews>
  <sheetFormatPr defaultColWidth="12.6640625" defaultRowHeight="15.75" customHeight="1" x14ac:dyDescent="0.3"/>
  <cols>
    <col min="1" max="1" width="22.77734375" style="13" customWidth="1"/>
    <col min="2" max="15" width="12.6640625" style="13"/>
    <col min="16" max="17" width="15.33203125" style="13" bestFit="1" customWidth="1"/>
    <col min="18" max="16384" width="12.6640625" style="13"/>
  </cols>
  <sheetData>
    <row r="1" spans="1:9" ht="15.75" customHeight="1" x14ac:dyDescent="0.3">
      <c r="A1" s="15" t="s">
        <v>112</v>
      </c>
      <c r="B1" s="15" t="s">
        <v>111</v>
      </c>
      <c r="C1" s="15" t="s">
        <v>110</v>
      </c>
      <c r="D1" s="15" t="s">
        <v>109</v>
      </c>
      <c r="E1" s="15" t="s">
        <v>108</v>
      </c>
      <c r="F1" s="14" t="s">
        <v>107</v>
      </c>
      <c r="G1" s="14" t="s">
        <v>106</v>
      </c>
      <c r="H1" s="14" t="s">
        <v>105</v>
      </c>
      <c r="I1" s="14" t="s">
        <v>104</v>
      </c>
    </row>
    <row r="2" spans="1:9" ht="15.75" customHeight="1" x14ac:dyDescent="0.3">
      <c r="A2" s="15" t="s">
        <v>103</v>
      </c>
      <c r="B2" s="15">
        <v>0.76500000000000001</v>
      </c>
      <c r="C2" s="15">
        <v>0.14399999999999999</v>
      </c>
      <c r="D2" s="15">
        <v>5.6800000000000003E-2</v>
      </c>
      <c r="E2" s="15">
        <v>2.98E-2</v>
      </c>
      <c r="F2" s="14">
        <f>C2/(1-B2)</f>
        <v>0.61276595744680851</v>
      </c>
      <c r="G2" s="14">
        <f>D2/(1-B2)</f>
        <v>0.24170212765957449</v>
      </c>
      <c r="H2" s="14">
        <f>E2/(1-B2)</f>
        <v>0.12680851063829787</v>
      </c>
      <c r="I2" s="14">
        <f>1-(F2+G2+H2)</f>
        <v>1.8723404255319043E-2</v>
      </c>
    </row>
    <row r="3" spans="1:9" ht="15.75" customHeight="1" x14ac:dyDescent="0.3">
      <c r="A3" s="15" t="s">
        <v>102</v>
      </c>
      <c r="B3" s="15">
        <v>0.77500000000000002</v>
      </c>
      <c r="C3" s="15">
        <v>0.14299999999999999</v>
      </c>
      <c r="D3" s="15">
        <v>1.9699999999999999E-2</v>
      </c>
      <c r="E3" s="15">
        <v>2.6800000000000001E-2</v>
      </c>
      <c r="F3" s="14">
        <f>C3/(1-B3)</f>
        <v>0.63555555555555554</v>
      </c>
      <c r="G3" s="14">
        <f>D3/(1-B3)</f>
        <v>8.7555555555555553E-2</v>
      </c>
      <c r="H3" s="14">
        <f>E3/(1-B3)</f>
        <v>0.11911111111111113</v>
      </c>
      <c r="I3" s="14">
        <f>1-(F3+G3+H3)</f>
        <v>0.15777777777777779</v>
      </c>
    </row>
    <row r="4" spans="1:9" ht="15.75" customHeight="1" x14ac:dyDescent="0.3">
      <c r="A4" s="15" t="s">
        <v>101</v>
      </c>
      <c r="B4" s="15">
        <v>0.68300000000000005</v>
      </c>
      <c r="C4" s="15">
        <v>0.161</v>
      </c>
      <c r="D4" s="15">
        <v>8.3900000000000002E-2</v>
      </c>
      <c r="E4" s="15">
        <v>4.6699999999999998E-2</v>
      </c>
      <c r="F4" s="14">
        <f>C4/(1-B4)</f>
        <v>0.50788643533123035</v>
      </c>
      <c r="G4" s="14">
        <f>D4/(1-B4)</f>
        <v>0.26466876971608838</v>
      </c>
      <c r="H4" s="14">
        <f>E4/(1-B4)</f>
        <v>0.14731861198738172</v>
      </c>
      <c r="I4" s="14">
        <f>1-(F4+G4+H4)</f>
        <v>8.0126182965299497E-2</v>
      </c>
    </row>
    <row r="5" spans="1:9" ht="15.75" customHeight="1" x14ac:dyDescent="0.3">
      <c r="A5" s="15" t="s">
        <v>100</v>
      </c>
      <c r="B5" s="15">
        <v>0.74299999999999999</v>
      </c>
      <c r="C5" s="15">
        <v>0.14499999999999999</v>
      </c>
      <c r="D5" s="15">
        <v>6.2300000000000001E-2</v>
      </c>
      <c r="E5" s="15">
        <v>2.4799999999999999E-2</v>
      </c>
      <c r="F5" s="14">
        <f>C5/(1-B5)</f>
        <v>0.56420233463035019</v>
      </c>
      <c r="G5" s="14">
        <f>D5/(1-B5)</f>
        <v>0.2424124513618677</v>
      </c>
      <c r="H5" s="14">
        <f>E5/(1-B5)</f>
        <v>9.6498054474708161E-2</v>
      </c>
      <c r="I5" s="14">
        <f>1-(F5+G5+H5)</f>
        <v>9.6887159533073919E-2</v>
      </c>
    </row>
    <row r="6" spans="1:9" ht="15.75" customHeight="1" x14ac:dyDescent="0.3">
      <c r="A6" s="15" t="s">
        <v>99</v>
      </c>
      <c r="B6" s="15">
        <v>0.71599999999999997</v>
      </c>
      <c r="C6" s="15">
        <v>0.14799999999999999</v>
      </c>
      <c r="D6" s="15">
        <v>8.0699999999999994E-2</v>
      </c>
      <c r="E6" s="15">
        <v>2.6800000000000001E-2</v>
      </c>
      <c r="F6" s="14">
        <f>C6/(1-B6)</f>
        <v>0.52112676056338025</v>
      </c>
      <c r="G6" s="14">
        <f>D6/(1-B6)</f>
        <v>0.28415492957746474</v>
      </c>
      <c r="H6" s="14">
        <f>E6/(1-B6)</f>
        <v>9.4366197183098591E-2</v>
      </c>
      <c r="I6" s="14">
        <f>1-(F6+G6+H6)</f>
        <v>0.10035211267605637</v>
      </c>
    </row>
    <row r="7" spans="1:9" ht="15.75" customHeight="1" x14ac:dyDescent="0.3">
      <c r="F7" s="14"/>
      <c r="G7" s="14"/>
      <c r="H7" s="14"/>
      <c r="I7" s="14"/>
    </row>
    <row r="8" spans="1:9" ht="15.75" customHeight="1" x14ac:dyDescent="0.3">
      <c r="A8" s="15" t="s">
        <v>98</v>
      </c>
      <c r="F8" s="14"/>
      <c r="G8" s="14"/>
      <c r="H8" s="14"/>
      <c r="I8" s="14"/>
    </row>
    <row r="9" spans="1:9" ht="15.75" customHeight="1" x14ac:dyDescent="0.3">
      <c r="F9" s="14"/>
      <c r="G9" s="14"/>
      <c r="H9" s="14"/>
      <c r="I9" s="14"/>
    </row>
    <row r="10" spans="1:9" ht="15.75" customHeight="1" x14ac:dyDescent="0.3">
      <c r="F10" s="14"/>
      <c r="G10" s="14"/>
      <c r="H10" s="14"/>
      <c r="I10" s="14"/>
    </row>
    <row r="11" spans="1:9" ht="15.75" customHeight="1" x14ac:dyDescent="0.3">
      <c r="F11" s="14"/>
      <c r="G11" s="14"/>
      <c r="H11" s="14"/>
      <c r="I11" s="14"/>
    </row>
    <row r="12" spans="1:9" ht="15.75" customHeight="1" x14ac:dyDescent="0.3">
      <c r="F12" s="14"/>
      <c r="G12" s="14"/>
      <c r="H12" s="14"/>
      <c r="I12" s="14"/>
    </row>
    <row r="13" spans="1:9" ht="15.75" customHeight="1" x14ac:dyDescent="0.3">
      <c r="F13" s="14"/>
      <c r="G13" s="14"/>
      <c r="H13" s="14"/>
      <c r="I13" s="14"/>
    </row>
    <row r="14" spans="1:9" ht="15.75" customHeight="1" x14ac:dyDescent="0.3">
      <c r="F14" s="14"/>
      <c r="G14" s="14"/>
      <c r="H14" s="14"/>
      <c r="I14" s="14"/>
    </row>
    <row r="15" spans="1:9" ht="15.75" customHeight="1" x14ac:dyDescent="0.3">
      <c r="F15" s="14"/>
      <c r="G15" s="14"/>
      <c r="H15" s="14"/>
      <c r="I15" s="14"/>
    </row>
    <row r="16" spans="1:9" ht="15.75" customHeight="1" x14ac:dyDescent="0.3">
      <c r="F16" s="14"/>
      <c r="G16" s="14"/>
      <c r="H16" s="14"/>
      <c r="I16" s="14"/>
    </row>
    <row r="17" spans="6:9" ht="15.75" customHeight="1" x14ac:dyDescent="0.3">
      <c r="F17" s="14"/>
      <c r="G17" s="14"/>
      <c r="H17" s="14"/>
      <c r="I17" s="14"/>
    </row>
    <row r="18" spans="6:9" ht="15.75" customHeight="1" x14ac:dyDescent="0.3">
      <c r="F18" s="14"/>
      <c r="G18" s="14"/>
      <c r="H18" s="14"/>
      <c r="I18" s="14"/>
    </row>
    <row r="19" spans="6:9" ht="15.75" customHeight="1" x14ac:dyDescent="0.3">
      <c r="F19" s="14"/>
      <c r="G19" s="14"/>
      <c r="H19" s="14"/>
      <c r="I19" s="14"/>
    </row>
    <row r="20" spans="6:9" ht="15.75" customHeight="1" x14ac:dyDescent="0.3">
      <c r="F20" s="14"/>
      <c r="G20" s="14"/>
      <c r="H20" s="14"/>
      <c r="I20" s="14"/>
    </row>
    <row r="21" spans="6:9" ht="15.75" customHeight="1" x14ac:dyDescent="0.3">
      <c r="F21" s="14"/>
      <c r="G21" s="14"/>
      <c r="H21" s="14"/>
      <c r="I21" s="14"/>
    </row>
    <row r="22" spans="6:9" ht="15.75" customHeight="1" x14ac:dyDescent="0.3">
      <c r="F22" s="14"/>
      <c r="G22" s="14"/>
      <c r="H22" s="14"/>
      <c r="I22" s="14"/>
    </row>
    <row r="23" spans="6:9" ht="15.75" customHeight="1" x14ac:dyDescent="0.3">
      <c r="F23" s="14"/>
      <c r="G23" s="14"/>
      <c r="H23" s="14"/>
      <c r="I23" s="14"/>
    </row>
    <row r="24" spans="6:9" ht="15.75" customHeight="1" x14ac:dyDescent="0.3">
      <c r="F24" s="14"/>
      <c r="G24" s="14"/>
      <c r="H24" s="14"/>
      <c r="I24" s="14"/>
    </row>
    <row r="25" spans="6:9" ht="15.75" customHeight="1" x14ac:dyDescent="0.3">
      <c r="F25" s="14"/>
      <c r="G25" s="14"/>
      <c r="H25" s="14"/>
      <c r="I25" s="14"/>
    </row>
    <row r="26" spans="6:9" ht="15.75" customHeight="1" x14ac:dyDescent="0.3">
      <c r="F26" s="14"/>
      <c r="G26" s="14"/>
      <c r="H26" s="14"/>
      <c r="I26" s="14"/>
    </row>
    <row r="27" spans="6:9" ht="15.75" customHeight="1" x14ac:dyDescent="0.3">
      <c r="F27" s="14"/>
      <c r="G27" s="14"/>
      <c r="H27" s="14"/>
      <c r="I27" s="14"/>
    </row>
    <row r="28" spans="6:9" ht="15.75" customHeight="1" x14ac:dyDescent="0.3">
      <c r="F28" s="14"/>
      <c r="G28" s="14"/>
      <c r="H28" s="14"/>
      <c r="I28" s="14"/>
    </row>
    <row r="29" spans="6:9" ht="15.75" customHeight="1" x14ac:dyDescent="0.3">
      <c r="F29" s="14"/>
      <c r="G29" s="14"/>
      <c r="H29" s="14"/>
      <c r="I29" s="14"/>
    </row>
    <row r="30" spans="6:9" ht="15.75" customHeight="1" x14ac:dyDescent="0.3">
      <c r="F30" s="14"/>
      <c r="G30" s="14"/>
      <c r="H30" s="14"/>
      <c r="I30" s="14"/>
    </row>
    <row r="31" spans="6:9" ht="15.75" customHeight="1" x14ac:dyDescent="0.3">
      <c r="F31" s="14"/>
      <c r="G31" s="14"/>
      <c r="H31" s="14"/>
      <c r="I31" s="14"/>
    </row>
    <row r="32" spans="6:9" ht="15.75" customHeight="1" x14ac:dyDescent="0.3">
      <c r="F32" s="14"/>
      <c r="G32" s="14"/>
      <c r="H32" s="14"/>
      <c r="I32" s="14"/>
    </row>
    <row r="33" spans="6:9" ht="15.75" customHeight="1" x14ac:dyDescent="0.3">
      <c r="F33" s="14"/>
      <c r="G33" s="14"/>
      <c r="H33" s="14"/>
      <c r="I33" s="14"/>
    </row>
    <row r="34" spans="6:9" ht="15.75" customHeight="1" x14ac:dyDescent="0.3">
      <c r="F34" s="14"/>
      <c r="G34" s="14"/>
      <c r="H34" s="14"/>
      <c r="I34" s="14"/>
    </row>
    <row r="35" spans="6:9" ht="15.75" customHeight="1" x14ac:dyDescent="0.3">
      <c r="F35" s="14"/>
      <c r="G35" s="14"/>
      <c r="H35" s="14"/>
      <c r="I35" s="14"/>
    </row>
    <row r="36" spans="6:9" ht="15.75" customHeight="1" x14ac:dyDescent="0.3">
      <c r="F36" s="14"/>
      <c r="G36" s="14"/>
      <c r="H36" s="14"/>
      <c r="I36" s="14"/>
    </row>
    <row r="37" spans="6:9" ht="15.75" customHeight="1" x14ac:dyDescent="0.3">
      <c r="F37" s="14"/>
      <c r="G37" s="14"/>
      <c r="H37" s="14"/>
      <c r="I37" s="14"/>
    </row>
    <row r="38" spans="6:9" ht="15.75" customHeight="1" x14ac:dyDescent="0.3">
      <c r="F38" s="14"/>
      <c r="G38" s="14"/>
      <c r="H38" s="14"/>
      <c r="I38" s="14"/>
    </row>
    <row r="39" spans="6:9" ht="15.75" customHeight="1" x14ac:dyDescent="0.3">
      <c r="F39" s="14"/>
      <c r="G39" s="14"/>
      <c r="H39" s="14"/>
      <c r="I39" s="14"/>
    </row>
    <row r="40" spans="6:9" ht="15.75" customHeight="1" x14ac:dyDescent="0.3">
      <c r="F40" s="14"/>
      <c r="G40" s="14"/>
      <c r="H40" s="14"/>
      <c r="I40" s="14"/>
    </row>
    <row r="41" spans="6:9" ht="15.75" customHeight="1" x14ac:dyDescent="0.3">
      <c r="F41" s="14"/>
      <c r="G41" s="14"/>
      <c r="H41" s="14"/>
      <c r="I41" s="14"/>
    </row>
    <row r="42" spans="6:9" ht="15.75" customHeight="1" x14ac:dyDescent="0.3">
      <c r="F42" s="14"/>
      <c r="G42" s="14"/>
      <c r="H42" s="14"/>
      <c r="I42" s="14"/>
    </row>
    <row r="43" spans="6:9" ht="15.75" customHeight="1" x14ac:dyDescent="0.3">
      <c r="F43" s="14"/>
      <c r="G43" s="14"/>
      <c r="H43" s="14"/>
      <c r="I43" s="14"/>
    </row>
    <row r="44" spans="6:9" ht="15.75" customHeight="1" x14ac:dyDescent="0.3">
      <c r="F44" s="14"/>
      <c r="G44" s="14"/>
      <c r="H44" s="14"/>
      <c r="I44" s="14"/>
    </row>
    <row r="45" spans="6:9" ht="15.75" customHeight="1" x14ac:dyDescent="0.3">
      <c r="F45" s="14"/>
      <c r="G45" s="14"/>
      <c r="H45" s="14"/>
      <c r="I45" s="14"/>
    </row>
    <row r="46" spans="6:9" ht="15.75" customHeight="1" x14ac:dyDescent="0.3">
      <c r="F46" s="14"/>
      <c r="G46" s="14"/>
      <c r="H46" s="14"/>
      <c r="I46" s="14"/>
    </row>
    <row r="47" spans="6:9" ht="15.75" customHeight="1" x14ac:dyDescent="0.3">
      <c r="F47" s="14"/>
      <c r="G47" s="14"/>
      <c r="H47" s="14"/>
      <c r="I47" s="14"/>
    </row>
    <row r="48" spans="6:9" ht="15.75" customHeight="1" x14ac:dyDescent="0.3">
      <c r="F48" s="14"/>
      <c r="G48" s="14"/>
      <c r="H48" s="14"/>
      <c r="I48" s="14"/>
    </row>
    <row r="49" spans="6:9" ht="15.75" customHeight="1" x14ac:dyDescent="0.3">
      <c r="F49" s="14"/>
      <c r="G49" s="14"/>
      <c r="H49" s="14"/>
      <c r="I49" s="14"/>
    </row>
    <row r="50" spans="6:9" ht="15.75" customHeight="1" x14ac:dyDescent="0.3">
      <c r="F50" s="14"/>
      <c r="G50" s="14"/>
      <c r="H50" s="14"/>
      <c r="I50" s="14"/>
    </row>
    <row r="51" spans="6:9" ht="15.75" customHeight="1" x14ac:dyDescent="0.3">
      <c r="F51" s="14"/>
      <c r="G51" s="14"/>
      <c r="H51" s="14"/>
      <c r="I51" s="14"/>
    </row>
    <row r="52" spans="6:9" ht="15.75" customHeight="1" x14ac:dyDescent="0.3">
      <c r="F52" s="14"/>
      <c r="G52" s="14"/>
      <c r="H52" s="14"/>
      <c r="I52" s="14"/>
    </row>
    <row r="53" spans="6:9" ht="15.75" customHeight="1" x14ac:dyDescent="0.3">
      <c r="F53" s="14"/>
      <c r="G53" s="14"/>
      <c r="H53" s="14"/>
      <c r="I53" s="14"/>
    </row>
    <row r="54" spans="6:9" ht="15.75" customHeight="1" x14ac:dyDescent="0.3">
      <c r="F54" s="14"/>
      <c r="G54" s="14"/>
      <c r="H54" s="14"/>
      <c r="I54" s="14"/>
    </row>
    <row r="55" spans="6:9" ht="15.75" customHeight="1" x14ac:dyDescent="0.3">
      <c r="F55" s="14"/>
      <c r="G55" s="14"/>
      <c r="H55" s="14"/>
      <c r="I55" s="14"/>
    </row>
    <row r="56" spans="6:9" ht="15.75" customHeight="1" x14ac:dyDescent="0.3">
      <c r="F56" s="14"/>
      <c r="G56" s="14"/>
      <c r="H56" s="14"/>
      <c r="I56" s="14"/>
    </row>
    <row r="57" spans="6:9" ht="15.75" customHeight="1" x14ac:dyDescent="0.3">
      <c r="F57" s="14"/>
      <c r="G57" s="14"/>
      <c r="H57" s="14"/>
      <c r="I57" s="14"/>
    </row>
    <row r="58" spans="6:9" ht="15.75" customHeight="1" x14ac:dyDescent="0.3">
      <c r="F58" s="14"/>
      <c r="G58" s="14"/>
      <c r="H58" s="14"/>
      <c r="I58" s="14"/>
    </row>
    <row r="59" spans="6:9" ht="15.75" customHeight="1" x14ac:dyDescent="0.3">
      <c r="F59" s="14"/>
      <c r="G59" s="14"/>
      <c r="H59" s="14"/>
      <c r="I59" s="14"/>
    </row>
    <row r="60" spans="6:9" ht="15.75" customHeight="1" x14ac:dyDescent="0.3">
      <c r="F60" s="14"/>
      <c r="G60" s="14"/>
      <c r="H60" s="14"/>
      <c r="I60" s="14"/>
    </row>
    <row r="61" spans="6:9" ht="15.75" customHeight="1" x14ac:dyDescent="0.3">
      <c r="F61" s="14"/>
      <c r="G61" s="14"/>
      <c r="H61" s="14"/>
      <c r="I61" s="14"/>
    </row>
    <row r="62" spans="6:9" ht="15.75" customHeight="1" x14ac:dyDescent="0.3">
      <c r="F62" s="14"/>
      <c r="G62" s="14"/>
      <c r="H62" s="14"/>
      <c r="I62" s="14"/>
    </row>
    <row r="63" spans="6:9" ht="15.75" customHeight="1" x14ac:dyDescent="0.3">
      <c r="F63" s="14"/>
      <c r="G63" s="14"/>
      <c r="H63" s="14"/>
      <c r="I63" s="14"/>
    </row>
    <row r="64" spans="6:9" ht="15.75" customHeight="1" x14ac:dyDescent="0.3">
      <c r="F64" s="14"/>
      <c r="G64" s="14"/>
      <c r="H64" s="14"/>
      <c r="I64" s="14"/>
    </row>
    <row r="65" spans="6:9" ht="15.75" customHeight="1" x14ac:dyDescent="0.3">
      <c r="F65" s="14"/>
      <c r="G65" s="14"/>
      <c r="H65" s="14"/>
      <c r="I65" s="14"/>
    </row>
    <row r="66" spans="6:9" ht="15.75" customHeight="1" x14ac:dyDescent="0.3">
      <c r="F66" s="14"/>
      <c r="G66" s="14"/>
      <c r="H66" s="14"/>
      <c r="I66" s="14"/>
    </row>
    <row r="67" spans="6:9" ht="15.75" customHeight="1" x14ac:dyDescent="0.3">
      <c r="F67" s="14"/>
      <c r="G67" s="14"/>
      <c r="H67" s="14"/>
      <c r="I67" s="14"/>
    </row>
    <row r="68" spans="6:9" ht="15.75" customHeight="1" x14ac:dyDescent="0.3">
      <c r="F68" s="14"/>
      <c r="G68" s="14"/>
      <c r="H68" s="14"/>
      <c r="I68" s="14"/>
    </row>
    <row r="69" spans="6:9" ht="15.75" customHeight="1" x14ac:dyDescent="0.3">
      <c r="F69" s="14"/>
      <c r="G69" s="14"/>
      <c r="H69" s="14"/>
      <c r="I69" s="14"/>
    </row>
    <row r="70" spans="6:9" ht="15.75" customHeight="1" x14ac:dyDescent="0.3">
      <c r="F70" s="14"/>
      <c r="G70" s="14"/>
      <c r="H70" s="14"/>
      <c r="I70" s="14"/>
    </row>
    <row r="71" spans="6:9" ht="15.75" customHeight="1" x14ac:dyDescent="0.3">
      <c r="F71" s="14"/>
      <c r="G71" s="14"/>
      <c r="H71" s="14"/>
      <c r="I71" s="14"/>
    </row>
    <row r="72" spans="6:9" ht="15.75" customHeight="1" x14ac:dyDescent="0.3">
      <c r="F72" s="14"/>
      <c r="G72" s="14"/>
      <c r="H72" s="14"/>
      <c r="I72" s="14"/>
    </row>
    <row r="73" spans="6:9" ht="15.75" customHeight="1" x14ac:dyDescent="0.3">
      <c r="F73" s="14"/>
      <c r="G73" s="14"/>
      <c r="H73" s="14"/>
      <c r="I73" s="14"/>
    </row>
    <row r="74" spans="6:9" ht="15.75" customHeight="1" x14ac:dyDescent="0.3">
      <c r="F74" s="14"/>
      <c r="G74" s="14"/>
      <c r="H74" s="14"/>
      <c r="I74" s="14"/>
    </row>
    <row r="75" spans="6:9" ht="15.75" customHeight="1" x14ac:dyDescent="0.3">
      <c r="F75" s="14"/>
      <c r="G75" s="14"/>
      <c r="H75" s="14"/>
      <c r="I75" s="14"/>
    </row>
    <row r="76" spans="6:9" ht="15.75" customHeight="1" x14ac:dyDescent="0.3">
      <c r="F76" s="14"/>
      <c r="G76" s="14"/>
      <c r="H76" s="14"/>
      <c r="I76" s="14"/>
    </row>
    <row r="77" spans="6:9" ht="15.75" customHeight="1" x14ac:dyDescent="0.3">
      <c r="F77" s="14"/>
      <c r="G77" s="14"/>
      <c r="H77" s="14"/>
      <c r="I77" s="14"/>
    </row>
    <row r="78" spans="6:9" ht="15.75" customHeight="1" x14ac:dyDescent="0.3">
      <c r="F78" s="14"/>
      <c r="G78" s="14"/>
      <c r="H78" s="14"/>
      <c r="I78" s="14"/>
    </row>
    <row r="79" spans="6:9" ht="15.75" customHeight="1" x14ac:dyDescent="0.3">
      <c r="F79" s="14"/>
      <c r="G79" s="14"/>
      <c r="H79" s="14"/>
      <c r="I79" s="14"/>
    </row>
    <row r="80" spans="6:9" ht="15.75" customHeight="1" x14ac:dyDescent="0.3">
      <c r="F80" s="14"/>
      <c r="G80" s="14"/>
      <c r="H80" s="14"/>
      <c r="I80" s="14"/>
    </row>
    <row r="81" spans="6:9" ht="15.75" customHeight="1" x14ac:dyDescent="0.3">
      <c r="F81" s="14"/>
      <c r="G81" s="14"/>
      <c r="H81" s="14"/>
      <c r="I81" s="14"/>
    </row>
    <row r="82" spans="6:9" ht="15.75" customHeight="1" x14ac:dyDescent="0.3">
      <c r="F82" s="14"/>
      <c r="G82" s="14"/>
      <c r="H82" s="14"/>
      <c r="I82" s="14"/>
    </row>
    <row r="83" spans="6:9" ht="15.75" customHeight="1" x14ac:dyDescent="0.3">
      <c r="F83" s="14"/>
      <c r="G83" s="14"/>
      <c r="H83" s="14"/>
      <c r="I83" s="14"/>
    </row>
    <row r="84" spans="6:9" ht="15.75" customHeight="1" x14ac:dyDescent="0.3">
      <c r="F84" s="14"/>
      <c r="G84" s="14"/>
      <c r="H84" s="14"/>
      <c r="I84" s="14"/>
    </row>
    <row r="85" spans="6:9" ht="15.75" customHeight="1" x14ac:dyDescent="0.3">
      <c r="F85" s="14"/>
      <c r="G85" s="14"/>
      <c r="H85" s="14"/>
      <c r="I85" s="14"/>
    </row>
    <row r="86" spans="6:9" ht="15.75" customHeight="1" x14ac:dyDescent="0.3">
      <c r="F86" s="14"/>
      <c r="G86" s="14"/>
      <c r="H86" s="14"/>
      <c r="I86" s="14"/>
    </row>
    <row r="87" spans="6:9" ht="15.75" customHeight="1" x14ac:dyDescent="0.3">
      <c r="F87" s="14"/>
      <c r="G87" s="14"/>
      <c r="H87" s="14"/>
      <c r="I87" s="14"/>
    </row>
    <row r="88" spans="6:9" ht="15.75" customHeight="1" x14ac:dyDescent="0.3">
      <c r="F88" s="14"/>
      <c r="G88" s="14"/>
      <c r="H88" s="14"/>
      <c r="I88" s="14"/>
    </row>
    <row r="89" spans="6:9" ht="15.75" customHeight="1" x14ac:dyDescent="0.3">
      <c r="F89" s="14"/>
      <c r="G89" s="14"/>
      <c r="H89" s="14"/>
      <c r="I89" s="14"/>
    </row>
    <row r="90" spans="6:9" ht="15.75" customHeight="1" x14ac:dyDescent="0.3">
      <c r="F90" s="14"/>
      <c r="G90" s="14"/>
      <c r="H90" s="14"/>
      <c r="I90" s="14"/>
    </row>
    <row r="91" spans="6:9" ht="15.75" customHeight="1" x14ac:dyDescent="0.3">
      <c r="F91" s="14"/>
      <c r="G91" s="14"/>
      <c r="H91" s="14"/>
      <c r="I91" s="14"/>
    </row>
    <row r="92" spans="6:9" ht="15.75" customHeight="1" x14ac:dyDescent="0.3">
      <c r="F92" s="14"/>
      <c r="G92" s="14"/>
      <c r="H92" s="14"/>
      <c r="I92" s="14"/>
    </row>
    <row r="93" spans="6:9" ht="15.75" customHeight="1" x14ac:dyDescent="0.3">
      <c r="F93" s="14"/>
      <c r="G93" s="14"/>
      <c r="H93" s="14"/>
      <c r="I93" s="14"/>
    </row>
    <row r="94" spans="6:9" ht="15.75" customHeight="1" x14ac:dyDescent="0.3">
      <c r="F94" s="14"/>
      <c r="G94" s="14"/>
      <c r="H94" s="14"/>
      <c r="I94" s="14"/>
    </row>
    <row r="95" spans="6:9" ht="15.75" customHeight="1" x14ac:dyDescent="0.3">
      <c r="F95" s="14"/>
      <c r="G95" s="14"/>
      <c r="H95" s="14"/>
      <c r="I95" s="14"/>
    </row>
    <row r="96" spans="6:9" ht="15.75" customHeight="1" x14ac:dyDescent="0.3">
      <c r="F96" s="14"/>
      <c r="G96" s="14"/>
      <c r="H96" s="14"/>
      <c r="I96" s="14"/>
    </row>
    <row r="97" spans="6:9" ht="15.75" customHeight="1" x14ac:dyDescent="0.3">
      <c r="F97" s="14"/>
      <c r="G97" s="14"/>
      <c r="H97" s="14"/>
      <c r="I97" s="14"/>
    </row>
    <row r="98" spans="6:9" ht="15.75" customHeight="1" x14ac:dyDescent="0.3">
      <c r="F98" s="14"/>
      <c r="G98" s="14"/>
      <c r="H98" s="14"/>
      <c r="I98" s="14"/>
    </row>
    <row r="99" spans="6:9" ht="15.75" customHeight="1" x14ac:dyDescent="0.3">
      <c r="F99" s="14"/>
      <c r="G99" s="14"/>
      <c r="H99" s="14"/>
      <c r="I99" s="14"/>
    </row>
    <row r="100" spans="6:9" ht="15.75" customHeight="1" x14ac:dyDescent="0.3">
      <c r="F100" s="14"/>
      <c r="G100" s="14"/>
      <c r="H100" s="14"/>
      <c r="I100" s="14"/>
    </row>
    <row r="101" spans="6:9" ht="15.75" customHeight="1" x14ac:dyDescent="0.3">
      <c r="F101" s="14"/>
      <c r="G101" s="14"/>
      <c r="H101" s="14"/>
      <c r="I101" s="14"/>
    </row>
    <row r="102" spans="6:9" ht="15.75" customHeight="1" x14ac:dyDescent="0.3">
      <c r="F102" s="14"/>
      <c r="G102" s="14"/>
      <c r="H102" s="14"/>
      <c r="I102" s="14"/>
    </row>
    <row r="103" spans="6:9" ht="15.75" customHeight="1" x14ac:dyDescent="0.3">
      <c r="F103" s="14"/>
      <c r="G103" s="14"/>
      <c r="H103" s="14"/>
      <c r="I103" s="14"/>
    </row>
    <row r="104" spans="6:9" ht="15.75" customHeight="1" x14ac:dyDescent="0.3">
      <c r="F104" s="14"/>
      <c r="G104" s="14"/>
      <c r="H104" s="14"/>
      <c r="I104" s="14"/>
    </row>
    <row r="105" spans="6:9" ht="15.75" customHeight="1" x14ac:dyDescent="0.3">
      <c r="F105" s="14"/>
      <c r="G105" s="14"/>
      <c r="H105" s="14"/>
      <c r="I105" s="14"/>
    </row>
    <row r="106" spans="6:9" ht="15.75" customHeight="1" x14ac:dyDescent="0.3">
      <c r="F106" s="14"/>
      <c r="G106" s="14"/>
      <c r="H106" s="14"/>
      <c r="I106" s="14"/>
    </row>
    <row r="107" spans="6:9" ht="15.75" customHeight="1" x14ac:dyDescent="0.3">
      <c r="F107" s="14"/>
      <c r="G107" s="14"/>
      <c r="H107" s="14"/>
      <c r="I107" s="14"/>
    </row>
    <row r="108" spans="6:9" ht="15.75" customHeight="1" x14ac:dyDescent="0.3">
      <c r="F108" s="14"/>
      <c r="G108" s="14"/>
      <c r="H108" s="14"/>
      <c r="I108" s="14"/>
    </row>
    <row r="109" spans="6:9" ht="15.75" customHeight="1" x14ac:dyDescent="0.3">
      <c r="F109" s="14"/>
      <c r="G109" s="14"/>
      <c r="H109" s="14"/>
      <c r="I109" s="14"/>
    </row>
    <row r="110" spans="6:9" ht="15.75" customHeight="1" x14ac:dyDescent="0.3">
      <c r="F110" s="14"/>
      <c r="G110" s="14"/>
      <c r="H110" s="14"/>
      <c r="I110" s="14"/>
    </row>
    <row r="111" spans="6:9" ht="15.75" customHeight="1" x14ac:dyDescent="0.3">
      <c r="F111" s="14"/>
      <c r="G111" s="14"/>
      <c r="H111" s="14"/>
      <c r="I111" s="14"/>
    </row>
    <row r="112" spans="6:9" ht="15.75" customHeight="1" x14ac:dyDescent="0.3">
      <c r="F112" s="14"/>
      <c r="G112" s="14"/>
      <c r="H112" s="14"/>
      <c r="I112" s="14"/>
    </row>
    <row r="113" spans="6:9" ht="15.75" customHeight="1" x14ac:dyDescent="0.3">
      <c r="F113" s="14"/>
      <c r="G113" s="14"/>
      <c r="H113" s="14"/>
      <c r="I113" s="14"/>
    </row>
    <row r="114" spans="6:9" ht="15.75" customHeight="1" x14ac:dyDescent="0.3">
      <c r="F114" s="14"/>
      <c r="G114" s="14"/>
      <c r="H114" s="14"/>
      <c r="I114" s="14"/>
    </row>
    <row r="115" spans="6:9" ht="15.75" customHeight="1" x14ac:dyDescent="0.3">
      <c r="F115" s="14"/>
      <c r="G115" s="14"/>
      <c r="H115" s="14"/>
      <c r="I115" s="14"/>
    </row>
    <row r="116" spans="6:9" ht="15.75" customHeight="1" x14ac:dyDescent="0.3">
      <c r="F116" s="14"/>
      <c r="G116" s="14"/>
      <c r="H116" s="14"/>
      <c r="I116" s="14"/>
    </row>
    <row r="117" spans="6:9" ht="15.75" customHeight="1" x14ac:dyDescent="0.3">
      <c r="F117" s="14"/>
      <c r="G117" s="14"/>
      <c r="H117" s="14"/>
      <c r="I117" s="14"/>
    </row>
    <row r="118" spans="6:9" ht="15.75" customHeight="1" x14ac:dyDescent="0.3">
      <c r="F118" s="14"/>
      <c r="G118" s="14"/>
      <c r="H118" s="14"/>
      <c r="I118" s="14"/>
    </row>
    <row r="119" spans="6:9" ht="15.75" customHeight="1" x14ac:dyDescent="0.3">
      <c r="F119" s="14"/>
      <c r="G119" s="14"/>
      <c r="H119" s="14"/>
      <c r="I119" s="14"/>
    </row>
    <row r="120" spans="6:9" ht="15.75" customHeight="1" x14ac:dyDescent="0.3">
      <c r="F120" s="14"/>
      <c r="G120" s="14"/>
      <c r="H120" s="14"/>
      <c r="I120" s="14"/>
    </row>
    <row r="121" spans="6:9" ht="15.75" customHeight="1" x14ac:dyDescent="0.3">
      <c r="F121" s="14"/>
      <c r="G121" s="14"/>
      <c r="H121" s="14"/>
      <c r="I121" s="14"/>
    </row>
    <row r="122" spans="6:9" ht="15.75" customHeight="1" x14ac:dyDescent="0.3">
      <c r="F122" s="14"/>
      <c r="G122" s="14"/>
      <c r="H122" s="14"/>
      <c r="I122" s="14"/>
    </row>
    <row r="123" spans="6:9" ht="15.75" customHeight="1" x14ac:dyDescent="0.3">
      <c r="F123" s="14"/>
      <c r="G123" s="14"/>
      <c r="H123" s="14"/>
      <c r="I123" s="14"/>
    </row>
    <row r="124" spans="6:9" ht="15.75" customHeight="1" x14ac:dyDescent="0.3">
      <c r="F124" s="14"/>
      <c r="G124" s="14"/>
      <c r="H124" s="14"/>
      <c r="I124" s="14"/>
    </row>
    <row r="125" spans="6:9" ht="15.75" customHeight="1" x14ac:dyDescent="0.3">
      <c r="F125" s="14"/>
      <c r="G125" s="14"/>
      <c r="H125" s="14"/>
      <c r="I125" s="14"/>
    </row>
    <row r="126" spans="6:9" ht="15.75" customHeight="1" x14ac:dyDescent="0.3">
      <c r="F126" s="14"/>
      <c r="G126" s="14"/>
      <c r="H126" s="14"/>
      <c r="I126" s="14"/>
    </row>
    <row r="127" spans="6:9" ht="15.75" customHeight="1" x14ac:dyDescent="0.3">
      <c r="F127" s="14"/>
      <c r="G127" s="14"/>
      <c r="H127" s="14"/>
      <c r="I127" s="14"/>
    </row>
    <row r="128" spans="6:9" ht="15.75" customHeight="1" x14ac:dyDescent="0.3">
      <c r="F128" s="14"/>
      <c r="G128" s="14"/>
      <c r="H128" s="14"/>
      <c r="I128" s="14"/>
    </row>
    <row r="129" spans="6:9" ht="15.75" customHeight="1" x14ac:dyDescent="0.3">
      <c r="F129" s="14"/>
      <c r="G129" s="14"/>
      <c r="H129" s="14"/>
      <c r="I129" s="14"/>
    </row>
    <row r="130" spans="6:9" ht="15.75" customHeight="1" x14ac:dyDescent="0.3">
      <c r="F130" s="14"/>
      <c r="G130" s="14"/>
      <c r="H130" s="14"/>
      <c r="I130" s="14"/>
    </row>
    <row r="131" spans="6:9" ht="15.75" customHeight="1" x14ac:dyDescent="0.3">
      <c r="F131" s="14"/>
      <c r="G131" s="14"/>
      <c r="H131" s="14"/>
      <c r="I131" s="14"/>
    </row>
    <row r="132" spans="6:9" ht="15.75" customHeight="1" x14ac:dyDescent="0.3">
      <c r="F132" s="14"/>
      <c r="G132" s="14"/>
      <c r="H132" s="14"/>
      <c r="I132" s="14"/>
    </row>
    <row r="133" spans="6:9" ht="15.75" customHeight="1" x14ac:dyDescent="0.3">
      <c r="F133" s="14"/>
      <c r="G133" s="14"/>
      <c r="H133" s="14"/>
      <c r="I133" s="14"/>
    </row>
    <row r="134" spans="6:9" ht="15.75" customHeight="1" x14ac:dyDescent="0.3">
      <c r="F134" s="14"/>
      <c r="G134" s="14"/>
      <c r="H134" s="14"/>
      <c r="I134" s="14"/>
    </row>
    <row r="135" spans="6:9" ht="15.75" customHeight="1" x14ac:dyDescent="0.3">
      <c r="F135" s="14"/>
      <c r="G135" s="14"/>
      <c r="H135" s="14"/>
      <c r="I135" s="14"/>
    </row>
    <row r="136" spans="6:9" ht="15.75" customHeight="1" x14ac:dyDescent="0.3">
      <c r="F136" s="14"/>
      <c r="G136" s="14"/>
      <c r="H136" s="14"/>
      <c r="I136" s="14"/>
    </row>
    <row r="137" spans="6:9" ht="15.75" customHeight="1" x14ac:dyDescent="0.3">
      <c r="F137" s="14"/>
      <c r="G137" s="14"/>
      <c r="H137" s="14"/>
      <c r="I137" s="14"/>
    </row>
    <row r="138" spans="6:9" ht="15.75" customHeight="1" x14ac:dyDescent="0.3">
      <c r="F138" s="14"/>
      <c r="G138" s="14"/>
      <c r="H138" s="14"/>
      <c r="I138" s="14"/>
    </row>
    <row r="139" spans="6:9" ht="15.75" customHeight="1" x14ac:dyDescent="0.3">
      <c r="F139" s="14"/>
      <c r="G139" s="14"/>
      <c r="H139" s="14"/>
      <c r="I139" s="14"/>
    </row>
    <row r="140" spans="6:9" ht="15.75" customHeight="1" x14ac:dyDescent="0.3">
      <c r="F140" s="14"/>
      <c r="G140" s="14"/>
      <c r="H140" s="14"/>
      <c r="I140" s="14"/>
    </row>
    <row r="141" spans="6:9" ht="15.75" customHeight="1" x14ac:dyDescent="0.3">
      <c r="F141" s="14"/>
      <c r="G141" s="14"/>
      <c r="H141" s="14"/>
      <c r="I141" s="14"/>
    </row>
    <row r="142" spans="6:9" ht="15.75" customHeight="1" x14ac:dyDescent="0.3">
      <c r="F142" s="14"/>
      <c r="G142" s="14"/>
      <c r="H142" s="14"/>
      <c r="I142" s="14"/>
    </row>
    <row r="143" spans="6:9" ht="15.75" customHeight="1" x14ac:dyDescent="0.3">
      <c r="F143" s="14"/>
      <c r="G143" s="14"/>
      <c r="H143" s="14"/>
      <c r="I143" s="14"/>
    </row>
    <row r="144" spans="6:9" ht="15.75" customHeight="1" x14ac:dyDescent="0.3">
      <c r="F144" s="14"/>
      <c r="G144" s="14"/>
      <c r="H144" s="14"/>
      <c r="I144" s="14"/>
    </row>
    <row r="145" spans="6:9" ht="15.75" customHeight="1" x14ac:dyDescent="0.3">
      <c r="F145" s="14"/>
      <c r="G145" s="14"/>
      <c r="H145" s="14"/>
      <c r="I145" s="14"/>
    </row>
    <row r="146" spans="6:9" ht="15.75" customHeight="1" x14ac:dyDescent="0.3">
      <c r="F146" s="14"/>
      <c r="G146" s="14"/>
      <c r="H146" s="14"/>
      <c r="I146" s="14"/>
    </row>
    <row r="147" spans="6:9" ht="15.75" customHeight="1" x14ac:dyDescent="0.3">
      <c r="F147" s="14"/>
      <c r="G147" s="14"/>
      <c r="H147" s="14"/>
      <c r="I147" s="14"/>
    </row>
    <row r="148" spans="6:9" ht="15.75" customHeight="1" x14ac:dyDescent="0.3">
      <c r="F148" s="14"/>
      <c r="G148" s="14"/>
      <c r="H148" s="14"/>
      <c r="I148" s="14"/>
    </row>
    <row r="149" spans="6:9" ht="15.75" customHeight="1" x14ac:dyDescent="0.3">
      <c r="F149" s="14"/>
      <c r="G149" s="14"/>
      <c r="H149" s="14"/>
      <c r="I149" s="14"/>
    </row>
    <row r="150" spans="6:9" ht="15.75" customHeight="1" x14ac:dyDescent="0.3">
      <c r="F150" s="14"/>
      <c r="G150" s="14"/>
      <c r="H150" s="14"/>
      <c r="I150" s="14"/>
    </row>
    <row r="151" spans="6:9" ht="15.75" customHeight="1" x14ac:dyDescent="0.3">
      <c r="F151" s="14"/>
      <c r="G151" s="14"/>
      <c r="H151" s="14"/>
      <c r="I151" s="14"/>
    </row>
    <row r="152" spans="6:9" ht="15.75" customHeight="1" x14ac:dyDescent="0.3">
      <c r="F152" s="14"/>
      <c r="G152" s="14"/>
      <c r="H152" s="14"/>
      <c r="I152" s="14"/>
    </row>
    <row r="153" spans="6:9" ht="15.75" customHeight="1" x14ac:dyDescent="0.3">
      <c r="F153" s="14"/>
      <c r="G153" s="14"/>
      <c r="H153" s="14"/>
      <c r="I153" s="14"/>
    </row>
    <row r="154" spans="6:9" ht="15.75" customHeight="1" x14ac:dyDescent="0.3">
      <c r="F154" s="14"/>
      <c r="G154" s="14"/>
      <c r="H154" s="14"/>
      <c r="I154" s="14"/>
    </row>
    <row r="155" spans="6:9" ht="15.75" customHeight="1" x14ac:dyDescent="0.3">
      <c r="F155" s="14"/>
      <c r="G155" s="14"/>
      <c r="H155" s="14"/>
      <c r="I155" s="14"/>
    </row>
    <row r="156" spans="6:9" ht="15.75" customHeight="1" x14ac:dyDescent="0.3">
      <c r="F156" s="14"/>
      <c r="G156" s="14"/>
      <c r="H156" s="14"/>
      <c r="I156" s="14"/>
    </row>
    <row r="157" spans="6:9" ht="15.75" customHeight="1" x14ac:dyDescent="0.3">
      <c r="F157" s="14"/>
      <c r="G157" s="14"/>
      <c r="H157" s="14"/>
      <c r="I157" s="14"/>
    </row>
    <row r="158" spans="6:9" ht="15.75" customHeight="1" x14ac:dyDescent="0.3">
      <c r="F158" s="14"/>
      <c r="G158" s="14"/>
      <c r="H158" s="14"/>
      <c r="I158" s="14"/>
    </row>
    <row r="159" spans="6:9" ht="15.75" customHeight="1" x14ac:dyDescent="0.3">
      <c r="F159" s="14"/>
      <c r="G159" s="14"/>
      <c r="H159" s="14"/>
      <c r="I159" s="14"/>
    </row>
    <row r="160" spans="6:9" ht="15.75" customHeight="1" x14ac:dyDescent="0.3">
      <c r="F160" s="14"/>
      <c r="G160" s="14"/>
      <c r="H160" s="14"/>
      <c r="I160" s="14"/>
    </row>
    <row r="161" spans="6:9" ht="15.75" customHeight="1" x14ac:dyDescent="0.3">
      <c r="F161" s="14"/>
      <c r="G161" s="14"/>
      <c r="H161" s="14"/>
      <c r="I161" s="14"/>
    </row>
    <row r="162" spans="6:9" ht="15.75" customHeight="1" x14ac:dyDescent="0.3">
      <c r="F162" s="14"/>
      <c r="G162" s="14"/>
      <c r="H162" s="14"/>
      <c r="I162" s="14"/>
    </row>
    <row r="163" spans="6:9" ht="15.75" customHeight="1" x14ac:dyDescent="0.3">
      <c r="F163" s="14"/>
      <c r="G163" s="14"/>
      <c r="H163" s="14"/>
      <c r="I163" s="14"/>
    </row>
    <row r="164" spans="6:9" ht="15.75" customHeight="1" x14ac:dyDescent="0.3">
      <c r="F164" s="14"/>
      <c r="G164" s="14"/>
      <c r="H164" s="14"/>
      <c r="I164" s="14"/>
    </row>
    <row r="165" spans="6:9" ht="15.75" customHeight="1" x14ac:dyDescent="0.3">
      <c r="F165" s="14"/>
      <c r="G165" s="14"/>
      <c r="H165" s="14"/>
      <c r="I165" s="14"/>
    </row>
    <row r="166" spans="6:9" ht="15.75" customHeight="1" x14ac:dyDescent="0.3">
      <c r="F166" s="14"/>
      <c r="G166" s="14"/>
      <c r="H166" s="14"/>
      <c r="I166" s="14"/>
    </row>
    <row r="167" spans="6:9" ht="15.75" customHeight="1" x14ac:dyDescent="0.3">
      <c r="F167" s="14"/>
      <c r="G167" s="14"/>
      <c r="H167" s="14"/>
      <c r="I167" s="14"/>
    </row>
    <row r="168" spans="6:9" ht="15.75" customHeight="1" x14ac:dyDescent="0.3">
      <c r="F168" s="14"/>
      <c r="G168" s="14"/>
      <c r="H168" s="14"/>
      <c r="I168" s="14"/>
    </row>
    <row r="169" spans="6:9" ht="15.75" customHeight="1" x14ac:dyDescent="0.3">
      <c r="F169" s="14"/>
      <c r="G169" s="14"/>
      <c r="H169" s="14"/>
      <c r="I169" s="14"/>
    </row>
    <row r="170" spans="6:9" ht="15.75" customHeight="1" x14ac:dyDescent="0.3">
      <c r="F170" s="14"/>
      <c r="G170" s="14"/>
      <c r="H170" s="14"/>
      <c r="I170" s="14"/>
    </row>
    <row r="171" spans="6:9" ht="15.75" customHeight="1" x14ac:dyDescent="0.3">
      <c r="F171" s="14"/>
      <c r="G171" s="14"/>
      <c r="H171" s="14"/>
      <c r="I171" s="14"/>
    </row>
    <row r="172" spans="6:9" ht="15.75" customHeight="1" x14ac:dyDescent="0.3">
      <c r="F172" s="14"/>
      <c r="G172" s="14"/>
      <c r="H172" s="14"/>
      <c r="I172" s="14"/>
    </row>
    <row r="173" spans="6:9" ht="15.75" customHeight="1" x14ac:dyDescent="0.3">
      <c r="F173" s="14"/>
      <c r="G173" s="14"/>
      <c r="H173" s="14"/>
      <c r="I173" s="14"/>
    </row>
    <row r="174" spans="6:9" ht="15.75" customHeight="1" x14ac:dyDescent="0.3">
      <c r="F174" s="14"/>
      <c r="G174" s="14"/>
      <c r="H174" s="14"/>
      <c r="I174" s="14"/>
    </row>
    <row r="175" spans="6:9" ht="15.75" customHeight="1" x14ac:dyDescent="0.3">
      <c r="F175" s="14"/>
      <c r="G175" s="14"/>
      <c r="H175" s="14"/>
      <c r="I175" s="14"/>
    </row>
    <row r="176" spans="6:9" ht="15.75" customHeight="1" x14ac:dyDescent="0.3">
      <c r="F176" s="14"/>
      <c r="G176" s="14"/>
      <c r="H176" s="14"/>
      <c r="I176" s="14"/>
    </row>
    <row r="177" spans="6:9" ht="15.75" customHeight="1" x14ac:dyDescent="0.3">
      <c r="F177" s="14"/>
      <c r="G177" s="14"/>
      <c r="H177" s="14"/>
      <c r="I177" s="14"/>
    </row>
    <row r="178" spans="6:9" ht="15.75" customHeight="1" x14ac:dyDescent="0.3">
      <c r="F178" s="14"/>
      <c r="G178" s="14"/>
      <c r="H178" s="14"/>
      <c r="I178" s="14"/>
    </row>
    <row r="179" spans="6:9" ht="15.75" customHeight="1" x14ac:dyDescent="0.3">
      <c r="F179" s="14"/>
      <c r="G179" s="14"/>
      <c r="H179" s="14"/>
      <c r="I179" s="14"/>
    </row>
    <row r="180" spans="6:9" ht="15.75" customHeight="1" x14ac:dyDescent="0.3">
      <c r="F180" s="14"/>
      <c r="G180" s="14"/>
      <c r="H180" s="14"/>
      <c r="I180" s="14"/>
    </row>
    <row r="181" spans="6:9" ht="15.75" customHeight="1" x14ac:dyDescent="0.3">
      <c r="F181" s="14"/>
      <c r="G181" s="14"/>
      <c r="H181" s="14"/>
      <c r="I181" s="14"/>
    </row>
    <row r="182" spans="6:9" ht="15.75" customHeight="1" x14ac:dyDescent="0.3">
      <c r="F182" s="14"/>
      <c r="G182" s="14"/>
      <c r="H182" s="14"/>
      <c r="I182" s="14"/>
    </row>
    <row r="183" spans="6:9" ht="15.75" customHeight="1" x14ac:dyDescent="0.3">
      <c r="F183" s="14"/>
      <c r="G183" s="14"/>
      <c r="H183" s="14"/>
      <c r="I183" s="14"/>
    </row>
    <row r="184" spans="6:9" ht="15.75" customHeight="1" x14ac:dyDescent="0.3">
      <c r="F184" s="14"/>
      <c r="G184" s="14"/>
      <c r="H184" s="14"/>
      <c r="I184" s="14"/>
    </row>
    <row r="185" spans="6:9" ht="15.75" customHeight="1" x14ac:dyDescent="0.3">
      <c r="F185" s="14"/>
      <c r="G185" s="14"/>
      <c r="H185" s="14"/>
      <c r="I185" s="14"/>
    </row>
    <row r="186" spans="6:9" ht="15.75" customHeight="1" x14ac:dyDescent="0.3">
      <c r="F186" s="14"/>
      <c r="G186" s="14"/>
      <c r="H186" s="14"/>
      <c r="I186" s="14"/>
    </row>
    <row r="187" spans="6:9" ht="15.75" customHeight="1" x14ac:dyDescent="0.3">
      <c r="F187" s="14"/>
      <c r="G187" s="14"/>
      <c r="H187" s="14"/>
      <c r="I187" s="14"/>
    </row>
    <row r="188" spans="6:9" ht="15.75" customHeight="1" x14ac:dyDescent="0.3">
      <c r="F188" s="14"/>
      <c r="G188" s="14"/>
      <c r="H188" s="14"/>
      <c r="I188" s="14"/>
    </row>
    <row r="189" spans="6:9" ht="15.75" customHeight="1" x14ac:dyDescent="0.3">
      <c r="F189" s="14"/>
      <c r="G189" s="14"/>
      <c r="H189" s="14"/>
      <c r="I189" s="14"/>
    </row>
    <row r="190" spans="6:9" ht="15.75" customHeight="1" x14ac:dyDescent="0.3">
      <c r="F190" s="14"/>
      <c r="G190" s="14"/>
      <c r="H190" s="14"/>
      <c r="I190" s="14"/>
    </row>
    <row r="191" spans="6:9" ht="15.75" customHeight="1" x14ac:dyDescent="0.3">
      <c r="F191" s="14"/>
      <c r="G191" s="14"/>
      <c r="H191" s="14"/>
      <c r="I191" s="14"/>
    </row>
    <row r="192" spans="6:9" ht="15.75" customHeight="1" x14ac:dyDescent="0.3">
      <c r="F192" s="14"/>
      <c r="G192" s="14"/>
      <c r="H192" s="14"/>
      <c r="I192" s="14"/>
    </row>
    <row r="193" spans="6:9" ht="15.75" customHeight="1" x14ac:dyDescent="0.3">
      <c r="F193" s="14"/>
      <c r="G193" s="14"/>
      <c r="H193" s="14"/>
      <c r="I193" s="14"/>
    </row>
    <row r="194" spans="6:9" ht="15.75" customHeight="1" x14ac:dyDescent="0.3">
      <c r="F194" s="14"/>
      <c r="G194" s="14"/>
      <c r="H194" s="14"/>
      <c r="I194" s="14"/>
    </row>
    <row r="195" spans="6:9" ht="15.75" customHeight="1" x14ac:dyDescent="0.3">
      <c r="F195" s="14"/>
      <c r="G195" s="14"/>
      <c r="H195" s="14"/>
      <c r="I195" s="14"/>
    </row>
    <row r="196" spans="6:9" ht="15.75" customHeight="1" x14ac:dyDescent="0.3">
      <c r="F196" s="14"/>
      <c r="G196" s="14"/>
      <c r="H196" s="14"/>
      <c r="I196" s="14"/>
    </row>
    <row r="197" spans="6:9" ht="15.75" customHeight="1" x14ac:dyDescent="0.3">
      <c r="F197" s="14"/>
      <c r="G197" s="14"/>
      <c r="H197" s="14"/>
      <c r="I197" s="14"/>
    </row>
    <row r="198" spans="6:9" ht="15.75" customHeight="1" x14ac:dyDescent="0.3">
      <c r="F198" s="14"/>
      <c r="G198" s="14"/>
      <c r="H198" s="14"/>
      <c r="I198" s="14"/>
    </row>
    <row r="199" spans="6:9" ht="15.75" customHeight="1" x14ac:dyDescent="0.3">
      <c r="F199" s="14"/>
      <c r="G199" s="14"/>
      <c r="H199" s="14"/>
      <c r="I199" s="14"/>
    </row>
    <row r="200" spans="6:9" ht="15.75" customHeight="1" x14ac:dyDescent="0.3">
      <c r="F200" s="14"/>
      <c r="G200" s="14"/>
      <c r="H200" s="14"/>
      <c r="I200" s="14"/>
    </row>
    <row r="201" spans="6:9" ht="15.75" customHeight="1" x14ac:dyDescent="0.3">
      <c r="F201" s="14"/>
      <c r="G201" s="14"/>
      <c r="H201" s="14"/>
      <c r="I201" s="14"/>
    </row>
    <row r="202" spans="6:9" ht="15.75" customHeight="1" x14ac:dyDescent="0.3">
      <c r="F202" s="14"/>
      <c r="G202" s="14"/>
      <c r="H202" s="14"/>
      <c r="I202" s="14"/>
    </row>
    <row r="203" spans="6:9" ht="15.75" customHeight="1" x14ac:dyDescent="0.3">
      <c r="F203" s="14"/>
      <c r="G203" s="14"/>
      <c r="H203" s="14"/>
      <c r="I203" s="14"/>
    </row>
    <row r="204" spans="6:9" ht="15.75" customHeight="1" x14ac:dyDescent="0.3">
      <c r="F204" s="14"/>
      <c r="G204" s="14"/>
      <c r="H204" s="14"/>
      <c r="I204" s="14"/>
    </row>
    <row r="205" spans="6:9" ht="15.75" customHeight="1" x14ac:dyDescent="0.3">
      <c r="F205" s="14"/>
      <c r="G205" s="14"/>
      <c r="H205" s="14"/>
      <c r="I205" s="14"/>
    </row>
    <row r="206" spans="6:9" ht="15.75" customHeight="1" x14ac:dyDescent="0.3">
      <c r="F206" s="14"/>
      <c r="G206" s="14"/>
      <c r="H206" s="14"/>
      <c r="I206" s="14"/>
    </row>
    <row r="207" spans="6:9" ht="15.75" customHeight="1" x14ac:dyDescent="0.3">
      <c r="F207" s="14"/>
      <c r="G207" s="14"/>
      <c r="H207" s="14"/>
      <c r="I207" s="14"/>
    </row>
    <row r="208" spans="6:9" ht="15.75" customHeight="1" x14ac:dyDescent="0.3">
      <c r="F208" s="14"/>
      <c r="G208" s="14"/>
      <c r="H208" s="14"/>
      <c r="I208" s="14"/>
    </row>
    <row r="209" spans="6:9" ht="15.75" customHeight="1" x14ac:dyDescent="0.3">
      <c r="F209" s="14"/>
      <c r="G209" s="14"/>
      <c r="H209" s="14"/>
      <c r="I209" s="14"/>
    </row>
    <row r="210" spans="6:9" ht="15.75" customHeight="1" x14ac:dyDescent="0.3">
      <c r="F210" s="14"/>
      <c r="G210" s="14"/>
      <c r="H210" s="14"/>
      <c r="I210" s="14"/>
    </row>
    <row r="211" spans="6:9" ht="15.75" customHeight="1" x14ac:dyDescent="0.3">
      <c r="F211" s="14"/>
      <c r="G211" s="14"/>
      <c r="H211" s="14"/>
      <c r="I211" s="14"/>
    </row>
    <row r="212" spans="6:9" ht="15.75" customHeight="1" x14ac:dyDescent="0.3">
      <c r="F212" s="14"/>
      <c r="G212" s="14"/>
      <c r="H212" s="14"/>
      <c r="I212" s="14"/>
    </row>
    <row r="213" spans="6:9" ht="15.75" customHeight="1" x14ac:dyDescent="0.3">
      <c r="F213" s="14"/>
      <c r="G213" s="14"/>
      <c r="H213" s="14"/>
      <c r="I213" s="14"/>
    </row>
    <row r="214" spans="6:9" ht="15.75" customHeight="1" x14ac:dyDescent="0.3">
      <c r="F214" s="14"/>
      <c r="G214" s="14"/>
      <c r="H214" s="14"/>
      <c r="I214" s="14"/>
    </row>
    <row r="215" spans="6:9" ht="15.75" customHeight="1" x14ac:dyDescent="0.3">
      <c r="F215" s="14"/>
      <c r="G215" s="14"/>
      <c r="H215" s="14"/>
      <c r="I215" s="14"/>
    </row>
    <row r="216" spans="6:9" ht="15.75" customHeight="1" x14ac:dyDescent="0.3">
      <c r="F216" s="14"/>
      <c r="G216" s="14"/>
      <c r="H216" s="14"/>
      <c r="I216" s="14"/>
    </row>
    <row r="217" spans="6:9" ht="15.75" customHeight="1" x14ac:dyDescent="0.3">
      <c r="F217" s="14"/>
      <c r="G217" s="14"/>
      <c r="H217" s="14"/>
      <c r="I217" s="14"/>
    </row>
    <row r="218" spans="6:9" ht="15.75" customHeight="1" x14ac:dyDescent="0.3">
      <c r="F218" s="14"/>
      <c r="G218" s="14"/>
      <c r="H218" s="14"/>
      <c r="I218" s="14"/>
    </row>
    <row r="219" spans="6:9" ht="15.75" customHeight="1" x14ac:dyDescent="0.3">
      <c r="F219" s="14"/>
      <c r="G219" s="14"/>
      <c r="H219" s="14"/>
      <c r="I219" s="14"/>
    </row>
    <row r="220" spans="6:9" ht="15.75" customHeight="1" x14ac:dyDescent="0.3">
      <c r="F220" s="14"/>
      <c r="G220" s="14"/>
      <c r="H220" s="14"/>
      <c r="I220" s="14"/>
    </row>
    <row r="221" spans="6:9" ht="15.75" customHeight="1" x14ac:dyDescent="0.3">
      <c r="F221" s="14"/>
      <c r="G221" s="14"/>
      <c r="H221" s="14"/>
      <c r="I221" s="14"/>
    </row>
    <row r="222" spans="6:9" ht="15.75" customHeight="1" x14ac:dyDescent="0.3">
      <c r="F222" s="14"/>
      <c r="G222" s="14"/>
      <c r="H222" s="14"/>
      <c r="I222" s="14"/>
    </row>
    <row r="223" spans="6:9" ht="15.75" customHeight="1" x14ac:dyDescent="0.3">
      <c r="F223" s="14"/>
      <c r="G223" s="14"/>
      <c r="H223" s="14"/>
      <c r="I223" s="14"/>
    </row>
    <row r="224" spans="6:9" ht="15.75" customHeight="1" x14ac:dyDescent="0.3">
      <c r="F224" s="14"/>
      <c r="G224" s="14"/>
      <c r="H224" s="14"/>
      <c r="I224" s="14"/>
    </row>
    <row r="225" spans="6:9" ht="15.75" customHeight="1" x14ac:dyDescent="0.3">
      <c r="F225" s="14"/>
      <c r="G225" s="14"/>
      <c r="H225" s="14"/>
      <c r="I225" s="14"/>
    </row>
    <row r="226" spans="6:9" ht="15.75" customHeight="1" x14ac:dyDescent="0.3">
      <c r="F226" s="14"/>
      <c r="G226" s="14"/>
      <c r="H226" s="14"/>
      <c r="I226" s="14"/>
    </row>
    <row r="227" spans="6:9" ht="15.75" customHeight="1" x14ac:dyDescent="0.3">
      <c r="F227" s="14"/>
      <c r="G227" s="14"/>
      <c r="H227" s="14"/>
      <c r="I227" s="14"/>
    </row>
    <row r="228" spans="6:9" ht="15.75" customHeight="1" x14ac:dyDescent="0.3">
      <c r="F228" s="14"/>
      <c r="G228" s="14"/>
      <c r="H228" s="14"/>
      <c r="I228" s="14"/>
    </row>
    <row r="229" spans="6:9" ht="15.75" customHeight="1" x14ac:dyDescent="0.3">
      <c r="F229" s="14"/>
      <c r="G229" s="14"/>
      <c r="H229" s="14"/>
      <c r="I229" s="14"/>
    </row>
    <row r="230" spans="6:9" ht="15.75" customHeight="1" x14ac:dyDescent="0.3">
      <c r="F230" s="14"/>
      <c r="G230" s="14"/>
      <c r="H230" s="14"/>
      <c r="I230" s="14"/>
    </row>
    <row r="231" spans="6:9" ht="15.75" customHeight="1" x14ac:dyDescent="0.3">
      <c r="F231" s="14"/>
      <c r="G231" s="14"/>
      <c r="H231" s="14"/>
      <c r="I231" s="14"/>
    </row>
    <row r="232" spans="6:9" ht="15.75" customHeight="1" x14ac:dyDescent="0.3">
      <c r="F232" s="14"/>
      <c r="G232" s="14"/>
      <c r="H232" s="14"/>
      <c r="I232" s="14"/>
    </row>
    <row r="233" spans="6:9" ht="15.75" customHeight="1" x14ac:dyDescent="0.3">
      <c r="F233" s="14"/>
      <c r="G233" s="14"/>
      <c r="H233" s="14"/>
      <c r="I233" s="14"/>
    </row>
    <row r="234" spans="6:9" ht="15.75" customHeight="1" x14ac:dyDescent="0.3">
      <c r="F234" s="14"/>
      <c r="G234" s="14"/>
      <c r="H234" s="14"/>
      <c r="I234" s="14"/>
    </row>
    <row r="235" spans="6:9" ht="15.75" customHeight="1" x14ac:dyDescent="0.3">
      <c r="F235" s="14"/>
      <c r="G235" s="14"/>
      <c r="H235" s="14"/>
      <c r="I235" s="14"/>
    </row>
    <row r="236" spans="6:9" ht="15.75" customHeight="1" x14ac:dyDescent="0.3">
      <c r="F236" s="14"/>
      <c r="G236" s="14"/>
      <c r="H236" s="14"/>
      <c r="I236" s="14"/>
    </row>
    <row r="237" spans="6:9" ht="15.75" customHeight="1" x14ac:dyDescent="0.3">
      <c r="F237" s="14"/>
      <c r="G237" s="14"/>
      <c r="H237" s="14"/>
      <c r="I237" s="14"/>
    </row>
    <row r="238" spans="6:9" ht="15.75" customHeight="1" x14ac:dyDescent="0.3">
      <c r="F238" s="14"/>
      <c r="G238" s="14"/>
      <c r="H238" s="14"/>
      <c r="I238" s="14"/>
    </row>
    <row r="239" spans="6:9" ht="15.75" customHeight="1" x14ac:dyDescent="0.3">
      <c r="F239" s="14"/>
      <c r="G239" s="14"/>
      <c r="H239" s="14"/>
      <c r="I239" s="14"/>
    </row>
    <row r="240" spans="6:9" ht="15.75" customHeight="1" x14ac:dyDescent="0.3">
      <c r="F240" s="14"/>
      <c r="G240" s="14"/>
      <c r="H240" s="14"/>
      <c r="I240" s="14"/>
    </row>
    <row r="241" spans="6:9" ht="15.75" customHeight="1" x14ac:dyDescent="0.3">
      <c r="F241" s="14"/>
      <c r="G241" s="14"/>
      <c r="H241" s="14"/>
      <c r="I241" s="14"/>
    </row>
    <row r="242" spans="6:9" ht="15.75" customHeight="1" x14ac:dyDescent="0.3">
      <c r="F242" s="14"/>
      <c r="G242" s="14"/>
      <c r="H242" s="14"/>
      <c r="I242" s="14"/>
    </row>
    <row r="243" spans="6:9" ht="15.75" customHeight="1" x14ac:dyDescent="0.3">
      <c r="F243" s="14"/>
      <c r="G243" s="14"/>
      <c r="H243" s="14"/>
      <c r="I243" s="14"/>
    </row>
    <row r="244" spans="6:9" ht="15.75" customHeight="1" x14ac:dyDescent="0.3">
      <c r="F244" s="14"/>
      <c r="G244" s="14"/>
      <c r="H244" s="14"/>
      <c r="I244" s="14"/>
    </row>
    <row r="245" spans="6:9" ht="15.75" customHeight="1" x14ac:dyDescent="0.3">
      <c r="F245" s="14"/>
      <c r="G245" s="14"/>
      <c r="H245" s="14"/>
      <c r="I245" s="14"/>
    </row>
    <row r="246" spans="6:9" ht="15.75" customHeight="1" x14ac:dyDescent="0.3">
      <c r="F246" s="14"/>
      <c r="G246" s="14"/>
      <c r="H246" s="14"/>
      <c r="I246" s="14"/>
    </row>
    <row r="247" spans="6:9" ht="15.75" customHeight="1" x14ac:dyDescent="0.3">
      <c r="F247" s="14"/>
      <c r="G247" s="14"/>
      <c r="H247" s="14"/>
      <c r="I247" s="14"/>
    </row>
    <row r="248" spans="6:9" ht="15.75" customHeight="1" x14ac:dyDescent="0.3">
      <c r="F248" s="14"/>
      <c r="G248" s="14"/>
      <c r="H248" s="14"/>
      <c r="I248" s="14"/>
    </row>
    <row r="249" spans="6:9" ht="15.75" customHeight="1" x14ac:dyDescent="0.3">
      <c r="F249" s="14"/>
      <c r="G249" s="14"/>
      <c r="H249" s="14"/>
      <c r="I249" s="14"/>
    </row>
    <row r="250" spans="6:9" ht="15.75" customHeight="1" x14ac:dyDescent="0.3">
      <c r="F250" s="14"/>
      <c r="G250" s="14"/>
      <c r="H250" s="14"/>
      <c r="I250" s="14"/>
    </row>
    <row r="251" spans="6:9" ht="15.75" customHeight="1" x14ac:dyDescent="0.3">
      <c r="F251" s="14"/>
      <c r="G251" s="14"/>
      <c r="H251" s="14"/>
      <c r="I251" s="14"/>
    </row>
    <row r="252" spans="6:9" ht="15.75" customHeight="1" x14ac:dyDescent="0.3">
      <c r="F252" s="14"/>
      <c r="G252" s="14"/>
      <c r="H252" s="14"/>
      <c r="I252" s="14"/>
    </row>
    <row r="253" spans="6:9" ht="15.75" customHeight="1" x14ac:dyDescent="0.3">
      <c r="F253" s="14"/>
      <c r="G253" s="14"/>
      <c r="H253" s="14"/>
      <c r="I253" s="14"/>
    </row>
    <row r="254" spans="6:9" ht="15.75" customHeight="1" x14ac:dyDescent="0.3">
      <c r="F254" s="14"/>
      <c r="G254" s="14"/>
      <c r="H254" s="14"/>
      <c r="I254" s="14"/>
    </row>
    <row r="255" spans="6:9" ht="15.75" customHeight="1" x14ac:dyDescent="0.3">
      <c r="F255" s="14"/>
      <c r="G255" s="14"/>
      <c r="H255" s="14"/>
      <c r="I255" s="14"/>
    </row>
    <row r="256" spans="6:9" ht="15.75" customHeight="1" x14ac:dyDescent="0.3">
      <c r="F256" s="14"/>
      <c r="G256" s="14"/>
      <c r="H256" s="14"/>
      <c r="I256" s="14"/>
    </row>
    <row r="257" spans="6:9" ht="15.75" customHeight="1" x14ac:dyDescent="0.3">
      <c r="F257" s="14"/>
      <c r="G257" s="14"/>
      <c r="H257" s="14"/>
      <c r="I257" s="14"/>
    </row>
    <row r="258" spans="6:9" ht="15.75" customHeight="1" x14ac:dyDescent="0.3">
      <c r="F258" s="14"/>
      <c r="G258" s="14"/>
      <c r="H258" s="14"/>
      <c r="I258" s="14"/>
    </row>
    <row r="259" spans="6:9" ht="15.75" customHeight="1" x14ac:dyDescent="0.3">
      <c r="F259" s="14"/>
      <c r="G259" s="14"/>
      <c r="H259" s="14"/>
      <c r="I259" s="14"/>
    </row>
    <row r="260" spans="6:9" ht="15.75" customHeight="1" x14ac:dyDescent="0.3">
      <c r="F260" s="14"/>
      <c r="G260" s="14"/>
      <c r="H260" s="14"/>
      <c r="I260" s="14"/>
    </row>
    <row r="261" spans="6:9" ht="15.75" customHeight="1" x14ac:dyDescent="0.3">
      <c r="F261" s="14"/>
      <c r="G261" s="14"/>
      <c r="H261" s="14"/>
      <c r="I261" s="14"/>
    </row>
    <row r="262" spans="6:9" ht="15.75" customHeight="1" x14ac:dyDescent="0.3">
      <c r="F262" s="14"/>
      <c r="G262" s="14"/>
      <c r="H262" s="14"/>
      <c r="I262" s="14"/>
    </row>
    <row r="263" spans="6:9" ht="15.75" customHeight="1" x14ac:dyDescent="0.3">
      <c r="F263" s="14"/>
      <c r="G263" s="14"/>
      <c r="H263" s="14"/>
      <c r="I263" s="14"/>
    </row>
    <row r="264" spans="6:9" ht="15.75" customHeight="1" x14ac:dyDescent="0.3">
      <c r="F264" s="14"/>
      <c r="G264" s="14"/>
      <c r="H264" s="14"/>
      <c r="I264" s="14"/>
    </row>
    <row r="265" spans="6:9" ht="15.75" customHeight="1" x14ac:dyDescent="0.3">
      <c r="F265" s="14"/>
      <c r="G265" s="14"/>
      <c r="H265" s="14"/>
      <c r="I265" s="14"/>
    </row>
    <row r="266" spans="6:9" ht="15.75" customHeight="1" x14ac:dyDescent="0.3">
      <c r="F266" s="14"/>
      <c r="G266" s="14"/>
      <c r="H266" s="14"/>
      <c r="I266" s="14"/>
    </row>
    <row r="267" spans="6:9" ht="15.75" customHeight="1" x14ac:dyDescent="0.3">
      <c r="F267" s="14"/>
      <c r="G267" s="14"/>
      <c r="H267" s="14"/>
      <c r="I267" s="14"/>
    </row>
    <row r="268" spans="6:9" ht="15.75" customHeight="1" x14ac:dyDescent="0.3">
      <c r="F268" s="14"/>
      <c r="G268" s="14"/>
      <c r="H268" s="14"/>
      <c r="I268" s="14"/>
    </row>
    <row r="269" spans="6:9" ht="15.75" customHeight="1" x14ac:dyDescent="0.3">
      <c r="F269" s="14"/>
      <c r="G269" s="14"/>
      <c r="H269" s="14"/>
      <c r="I269" s="14"/>
    </row>
    <row r="270" spans="6:9" ht="15.75" customHeight="1" x14ac:dyDescent="0.3">
      <c r="F270" s="14"/>
      <c r="G270" s="14"/>
      <c r="H270" s="14"/>
      <c r="I270" s="14"/>
    </row>
    <row r="271" spans="6:9" ht="15.75" customHeight="1" x14ac:dyDescent="0.3">
      <c r="F271" s="14"/>
      <c r="G271" s="14"/>
      <c r="H271" s="14"/>
      <c r="I271" s="14"/>
    </row>
    <row r="272" spans="6:9" ht="15.75" customHeight="1" x14ac:dyDescent="0.3">
      <c r="F272" s="14"/>
      <c r="G272" s="14"/>
      <c r="H272" s="14"/>
      <c r="I272" s="14"/>
    </row>
    <row r="273" spans="6:9" ht="15.75" customHeight="1" x14ac:dyDescent="0.3">
      <c r="F273" s="14"/>
      <c r="G273" s="14"/>
      <c r="H273" s="14"/>
      <c r="I273" s="14"/>
    </row>
    <row r="274" spans="6:9" ht="15.75" customHeight="1" x14ac:dyDescent="0.3">
      <c r="F274" s="14"/>
      <c r="G274" s="14"/>
      <c r="H274" s="14"/>
      <c r="I274" s="14"/>
    </row>
    <row r="275" spans="6:9" ht="15.75" customHeight="1" x14ac:dyDescent="0.3">
      <c r="F275" s="14"/>
      <c r="G275" s="14"/>
      <c r="H275" s="14"/>
      <c r="I275" s="14"/>
    </row>
    <row r="276" spans="6:9" ht="15.75" customHeight="1" x14ac:dyDescent="0.3">
      <c r="F276" s="14"/>
      <c r="G276" s="14"/>
      <c r="H276" s="14"/>
      <c r="I276" s="14"/>
    </row>
    <row r="277" spans="6:9" ht="15.75" customHeight="1" x14ac:dyDescent="0.3">
      <c r="F277" s="14"/>
      <c r="G277" s="14"/>
      <c r="H277" s="14"/>
      <c r="I277" s="14"/>
    </row>
    <row r="278" spans="6:9" ht="15.75" customHeight="1" x14ac:dyDescent="0.3">
      <c r="F278" s="14"/>
      <c r="G278" s="14"/>
      <c r="H278" s="14"/>
      <c r="I278" s="14"/>
    </row>
    <row r="279" spans="6:9" ht="15.75" customHeight="1" x14ac:dyDescent="0.3">
      <c r="F279" s="14"/>
      <c r="G279" s="14"/>
      <c r="H279" s="14"/>
      <c r="I279" s="14"/>
    </row>
    <row r="280" spans="6:9" ht="15.75" customHeight="1" x14ac:dyDescent="0.3">
      <c r="F280" s="14"/>
      <c r="G280" s="14"/>
      <c r="H280" s="14"/>
      <c r="I280" s="14"/>
    </row>
    <row r="281" spans="6:9" ht="15.75" customHeight="1" x14ac:dyDescent="0.3">
      <c r="F281" s="14"/>
      <c r="G281" s="14"/>
      <c r="H281" s="14"/>
      <c r="I281" s="14"/>
    </row>
    <row r="282" spans="6:9" ht="15.75" customHeight="1" x14ac:dyDescent="0.3">
      <c r="F282" s="14"/>
      <c r="G282" s="14"/>
      <c r="H282" s="14"/>
      <c r="I282" s="14"/>
    </row>
    <row r="283" spans="6:9" ht="15.75" customHeight="1" x14ac:dyDescent="0.3">
      <c r="F283" s="14"/>
      <c r="G283" s="14"/>
      <c r="H283" s="14"/>
      <c r="I283" s="14"/>
    </row>
    <row r="284" spans="6:9" ht="15.75" customHeight="1" x14ac:dyDescent="0.3">
      <c r="F284" s="14"/>
      <c r="G284" s="14"/>
      <c r="H284" s="14"/>
      <c r="I284" s="14"/>
    </row>
    <row r="285" spans="6:9" ht="15.75" customHeight="1" x14ac:dyDescent="0.3">
      <c r="F285" s="14"/>
      <c r="G285" s="14"/>
      <c r="H285" s="14"/>
      <c r="I285" s="14"/>
    </row>
    <row r="286" spans="6:9" ht="15.75" customHeight="1" x14ac:dyDescent="0.3">
      <c r="F286" s="14"/>
      <c r="G286" s="14"/>
      <c r="H286" s="14"/>
      <c r="I286" s="14"/>
    </row>
    <row r="287" spans="6:9" ht="15.75" customHeight="1" x14ac:dyDescent="0.3">
      <c r="F287" s="14"/>
      <c r="G287" s="14"/>
      <c r="H287" s="14"/>
      <c r="I287" s="14"/>
    </row>
    <row r="288" spans="6:9" ht="15.75" customHeight="1" x14ac:dyDescent="0.3">
      <c r="F288" s="14"/>
      <c r="G288" s="14"/>
      <c r="H288" s="14"/>
      <c r="I288" s="14"/>
    </row>
    <row r="289" spans="6:9" ht="15.75" customHeight="1" x14ac:dyDescent="0.3">
      <c r="F289" s="14"/>
      <c r="G289" s="14"/>
      <c r="H289" s="14"/>
      <c r="I289" s="14"/>
    </row>
    <row r="290" spans="6:9" ht="15.75" customHeight="1" x14ac:dyDescent="0.3">
      <c r="F290" s="14"/>
      <c r="G290" s="14"/>
      <c r="H290" s="14"/>
      <c r="I290" s="14"/>
    </row>
    <row r="291" spans="6:9" ht="15.75" customHeight="1" x14ac:dyDescent="0.3">
      <c r="F291" s="14"/>
      <c r="G291" s="14"/>
      <c r="H291" s="14"/>
      <c r="I291" s="14"/>
    </row>
    <row r="292" spans="6:9" ht="15.75" customHeight="1" x14ac:dyDescent="0.3">
      <c r="F292" s="14"/>
      <c r="G292" s="14"/>
      <c r="H292" s="14"/>
      <c r="I292" s="14"/>
    </row>
    <row r="293" spans="6:9" ht="15.75" customHeight="1" x14ac:dyDescent="0.3">
      <c r="F293" s="14"/>
      <c r="G293" s="14"/>
      <c r="H293" s="14"/>
      <c r="I293" s="14"/>
    </row>
    <row r="294" spans="6:9" ht="15.75" customHeight="1" x14ac:dyDescent="0.3">
      <c r="F294" s="14"/>
      <c r="G294" s="14"/>
      <c r="H294" s="14"/>
      <c r="I294" s="14"/>
    </row>
    <row r="295" spans="6:9" ht="15.75" customHeight="1" x14ac:dyDescent="0.3">
      <c r="F295" s="14"/>
      <c r="G295" s="14"/>
      <c r="H295" s="14"/>
      <c r="I295" s="14"/>
    </row>
    <row r="296" spans="6:9" ht="15.75" customHeight="1" x14ac:dyDescent="0.3">
      <c r="F296" s="14"/>
      <c r="G296" s="14"/>
      <c r="H296" s="14"/>
      <c r="I296" s="14"/>
    </row>
    <row r="297" spans="6:9" ht="15.75" customHeight="1" x14ac:dyDescent="0.3">
      <c r="F297" s="14"/>
      <c r="G297" s="14"/>
      <c r="H297" s="14"/>
      <c r="I297" s="14"/>
    </row>
    <row r="298" spans="6:9" ht="15.75" customHeight="1" x14ac:dyDescent="0.3">
      <c r="F298" s="14"/>
      <c r="G298" s="14"/>
      <c r="H298" s="14"/>
      <c r="I298" s="14"/>
    </row>
    <row r="299" spans="6:9" ht="15.75" customHeight="1" x14ac:dyDescent="0.3">
      <c r="F299" s="14"/>
      <c r="G299" s="14"/>
      <c r="H299" s="14"/>
      <c r="I299" s="14"/>
    </row>
    <row r="300" spans="6:9" ht="15.75" customHeight="1" x14ac:dyDescent="0.3">
      <c r="F300" s="14"/>
      <c r="G300" s="14"/>
      <c r="H300" s="14"/>
      <c r="I300" s="14"/>
    </row>
    <row r="301" spans="6:9" ht="15.75" customHeight="1" x14ac:dyDescent="0.3">
      <c r="F301" s="14"/>
      <c r="G301" s="14"/>
      <c r="H301" s="14"/>
      <c r="I301" s="14"/>
    </row>
    <row r="302" spans="6:9" ht="15.75" customHeight="1" x14ac:dyDescent="0.3">
      <c r="F302" s="14"/>
      <c r="G302" s="14"/>
      <c r="H302" s="14"/>
      <c r="I302" s="14"/>
    </row>
    <row r="303" spans="6:9" ht="15.75" customHeight="1" x14ac:dyDescent="0.3">
      <c r="F303" s="14"/>
      <c r="G303" s="14"/>
      <c r="H303" s="14"/>
      <c r="I303" s="14"/>
    </row>
    <row r="304" spans="6:9" ht="15.75" customHeight="1" x14ac:dyDescent="0.3">
      <c r="F304" s="14"/>
      <c r="G304" s="14"/>
      <c r="H304" s="14"/>
      <c r="I304" s="14"/>
    </row>
    <row r="305" spans="6:9" ht="15.75" customHeight="1" x14ac:dyDescent="0.3">
      <c r="F305" s="14"/>
      <c r="G305" s="14"/>
      <c r="H305" s="14"/>
      <c r="I305" s="14"/>
    </row>
    <row r="306" spans="6:9" ht="15.75" customHeight="1" x14ac:dyDescent="0.3">
      <c r="F306" s="14"/>
      <c r="G306" s="14"/>
      <c r="H306" s="14"/>
      <c r="I306" s="14"/>
    </row>
    <row r="307" spans="6:9" ht="15.75" customHeight="1" x14ac:dyDescent="0.3">
      <c r="F307" s="14"/>
      <c r="G307" s="14"/>
      <c r="H307" s="14"/>
      <c r="I307" s="14"/>
    </row>
    <row r="308" spans="6:9" ht="15.75" customHeight="1" x14ac:dyDescent="0.3">
      <c r="F308" s="14"/>
      <c r="G308" s="14"/>
      <c r="H308" s="14"/>
      <c r="I308" s="14"/>
    </row>
    <row r="309" spans="6:9" ht="15.75" customHeight="1" x14ac:dyDescent="0.3">
      <c r="F309" s="14"/>
      <c r="G309" s="14"/>
      <c r="H309" s="14"/>
      <c r="I309" s="14"/>
    </row>
    <row r="310" spans="6:9" ht="15.75" customHeight="1" x14ac:dyDescent="0.3">
      <c r="F310" s="14"/>
      <c r="G310" s="14"/>
      <c r="H310" s="14"/>
      <c r="I310" s="14"/>
    </row>
    <row r="311" spans="6:9" ht="15.75" customHeight="1" x14ac:dyDescent="0.3">
      <c r="F311" s="14"/>
      <c r="G311" s="14"/>
      <c r="H311" s="14"/>
      <c r="I311" s="14"/>
    </row>
    <row r="312" spans="6:9" ht="15.75" customHeight="1" x14ac:dyDescent="0.3">
      <c r="F312" s="14"/>
      <c r="G312" s="14"/>
      <c r="H312" s="14"/>
      <c r="I312" s="14"/>
    </row>
    <row r="313" spans="6:9" ht="15.75" customHeight="1" x14ac:dyDescent="0.3">
      <c r="F313" s="14"/>
      <c r="G313" s="14"/>
      <c r="H313" s="14"/>
      <c r="I313" s="14"/>
    </row>
    <row r="314" spans="6:9" ht="15.75" customHeight="1" x14ac:dyDescent="0.3">
      <c r="F314" s="14"/>
      <c r="G314" s="14"/>
      <c r="H314" s="14"/>
      <c r="I314" s="14"/>
    </row>
    <row r="315" spans="6:9" ht="15.75" customHeight="1" x14ac:dyDescent="0.3">
      <c r="F315" s="14"/>
      <c r="G315" s="14"/>
      <c r="H315" s="14"/>
      <c r="I315" s="14"/>
    </row>
    <row r="316" spans="6:9" ht="15.75" customHeight="1" x14ac:dyDescent="0.3">
      <c r="F316" s="14"/>
      <c r="G316" s="14"/>
      <c r="H316" s="14"/>
      <c r="I316" s="14"/>
    </row>
    <row r="317" spans="6:9" ht="15.75" customHeight="1" x14ac:dyDescent="0.3">
      <c r="F317" s="14"/>
      <c r="G317" s="14"/>
      <c r="H317" s="14"/>
      <c r="I317" s="14"/>
    </row>
    <row r="318" spans="6:9" ht="15.75" customHeight="1" x14ac:dyDescent="0.3">
      <c r="F318" s="14"/>
      <c r="G318" s="14"/>
      <c r="H318" s="14"/>
      <c r="I318" s="14"/>
    </row>
    <row r="319" spans="6:9" ht="15.75" customHeight="1" x14ac:dyDescent="0.3">
      <c r="F319" s="14"/>
      <c r="G319" s="14"/>
      <c r="H319" s="14"/>
      <c r="I319" s="14"/>
    </row>
    <row r="320" spans="6:9" ht="15.75" customHeight="1" x14ac:dyDescent="0.3">
      <c r="F320" s="14"/>
      <c r="G320" s="14"/>
      <c r="H320" s="14"/>
      <c r="I320" s="14"/>
    </row>
    <row r="321" spans="6:9" ht="15.75" customHeight="1" x14ac:dyDescent="0.3">
      <c r="F321" s="14"/>
      <c r="G321" s="14"/>
      <c r="H321" s="14"/>
      <c r="I321" s="14"/>
    </row>
    <row r="322" spans="6:9" ht="15.75" customHeight="1" x14ac:dyDescent="0.3">
      <c r="F322" s="14"/>
      <c r="G322" s="14"/>
      <c r="H322" s="14"/>
      <c r="I322" s="14"/>
    </row>
    <row r="323" spans="6:9" ht="15.75" customHeight="1" x14ac:dyDescent="0.3">
      <c r="F323" s="14"/>
      <c r="G323" s="14"/>
      <c r="H323" s="14"/>
      <c r="I323" s="14"/>
    </row>
    <row r="324" spans="6:9" ht="15.75" customHeight="1" x14ac:dyDescent="0.3">
      <c r="F324" s="14"/>
      <c r="G324" s="14"/>
      <c r="H324" s="14"/>
      <c r="I324" s="14"/>
    </row>
    <row r="325" spans="6:9" ht="15.75" customHeight="1" x14ac:dyDescent="0.3">
      <c r="F325" s="14"/>
      <c r="G325" s="14"/>
      <c r="H325" s="14"/>
      <c r="I325" s="14"/>
    </row>
    <row r="326" spans="6:9" ht="15.75" customHeight="1" x14ac:dyDescent="0.3">
      <c r="F326" s="14"/>
      <c r="G326" s="14"/>
      <c r="H326" s="14"/>
      <c r="I326" s="14"/>
    </row>
    <row r="327" spans="6:9" ht="15.75" customHeight="1" x14ac:dyDescent="0.3">
      <c r="F327" s="14"/>
      <c r="G327" s="14"/>
      <c r="H327" s="14"/>
      <c r="I327" s="14"/>
    </row>
    <row r="328" spans="6:9" ht="15.75" customHeight="1" x14ac:dyDescent="0.3">
      <c r="F328" s="14"/>
      <c r="G328" s="14"/>
      <c r="H328" s="14"/>
      <c r="I328" s="14"/>
    </row>
    <row r="329" spans="6:9" ht="15.75" customHeight="1" x14ac:dyDescent="0.3">
      <c r="F329" s="14"/>
      <c r="G329" s="14"/>
      <c r="H329" s="14"/>
      <c r="I329" s="14"/>
    </row>
    <row r="330" spans="6:9" ht="15.75" customHeight="1" x14ac:dyDescent="0.3">
      <c r="F330" s="14"/>
      <c r="G330" s="14"/>
      <c r="H330" s="14"/>
      <c r="I330" s="14"/>
    </row>
    <row r="331" spans="6:9" ht="15.75" customHeight="1" x14ac:dyDescent="0.3">
      <c r="F331" s="14"/>
      <c r="G331" s="14"/>
      <c r="H331" s="14"/>
      <c r="I331" s="14"/>
    </row>
    <row r="332" spans="6:9" ht="15.75" customHeight="1" x14ac:dyDescent="0.3">
      <c r="F332" s="14"/>
      <c r="G332" s="14"/>
      <c r="H332" s="14"/>
      <c r="I332" s="14"/>
    </row>
    <row r="333" spans="6:9" ht="15.75" customHeight="1" x14ac:dyDescent="0.3">
      <c r="F333" s="14"/>
      <c r="G333" s="14"/>
      <c r="H333" s="14"/>
      <c r="I333" s="14"/>
    </row>
    <row r="334" spans="6:9" ht="15.75" customHeight="1" x14ac:dyDescent="0.3">
      <c r="F334" s="14"/>
      <c r="G334" s="14"/>
      <c r="H334" s="14"/>
      <c r="I334" s="14"/>
    </row>
    <row r="335" spans="6:9" ht="15.75" customHeight="1" x14ac:dyDescent="0.3">
      <c r="F335" s="14"/>
      <c r="G335" s="14"/>
      <c r="H335" s="14"/>
      <c r="I335" s="14"/>
    </row>
    <row r="336" spans="6:9" ht="15.75" customHeight="1" x14ac:dyDescent="0.3">
      <c r="F336" s="14"/>
      <c r="G336" s="14"/>
      <c r="H336" s="14"/>
      <c r="I336" s="14"/>
    </row>
    <row r="337" spans="6:9" ht="15.75" customHeight="1" x14ac:dyDescent="0.3">
      <c r="F337" s="14"/>
      <c r="G337" s="14"/>
      <c r="H337" s="14"/>
      <c r="I337" s="14"/>
    </row>
    <row r="338" spans="6:9" ht="15.75" customHeight="1" x14ac:dyDescent="0.3">
      <c r="F338" s="14"/>
      <c r="G338" s="14"/>
      <c r="H338" s="14"/>
      <c r="I338" s="14"/>
    </row>
    <row r="339" spans="6:9" ht="15.75" customHeight="1" x14ac:dyDescent="0.3">
      <c r="F339" s="14"/>
      <c r="G339" s="14"/>
      <c r="H339" s="14"/>
      <c r="I339" s="14"/>
    </row>
    <row r="340" spans="6:9" ht="15.75" customHeight="1" x14ac:dyDescent="0.3">
      <c r="F340" s="14"/>
      <c r="G340" s="14"/>
      <c r="H340" s="14"/>
      <c r="I340" s="14"/>
    </row>
    <row r="341" spans="6:9" ht="15.75" customHeight="1" x14ac:dyDescent="0.3">
      <c r="F341" s="14"/>
      <c r="G341" s="14"/>
      <c r="H341" s="14"/>
      <c r="I341" s="14"/>
    </row>
    <row r="342" spans="6:9" ht="15.75" customHeight="1" x14ac:dyDescent="0.3">
      <c r="F342" s="14"/>
      <c r="G342" s="14"/>
      <c r="H342" s="14"/>
      <c r="I342" s="14"/>
    </row>
    <row r="343" spans="6:9" ht="15.75" customHeight="1" x14ac:dyDescent="0.3">
      <c r="F343" s="14"/>
      <c r="G343" s="14"/>
      <c r="H343" s="14"/>
      <c r="I343" s="14"/>
    </row>
    <row r="344" spans="6:9" ht="15.75" customHeight="1" x14ac:dyDescent="0.3">
      <c r="F344" s="14"/>
      <c r="G344" s="14"/>
      <c r="H344" s="14"/>
      <c r="I344" s="14"/>
    </row>
    <row r="345" spans="6:9" ht="15.75" customHeight="1" x14ac:dyDescent="0.3">
      <c r="F345" s="14"/>
      <c r="G345" s="14"/>
      <c r="H345" s="14"/>
      <c r="I345" s="14"/>
    </row>
    <row r="346" spans="6:9" ht="15.75" customHeight="1" x14ac:dyDescent="0.3">
      <c r="F346" s="14"/>
      <c r="G346" s="14"/>
      <c r="H346" s="14"/>
      <c r="I346" s="14"/>
    </row>
    <row r="347" spans="6:9" ht="15.75" customHeight="1" x14ac:dyDescent="0.3">
      <c r="F347" s="14"/>
      <c r="G347" s="14"/>
      <c r="H347" s="14"/>
      <c r="I347" s="14"/>
    </row>
    <row r="348" spans="6:9" ht="15.75" customHeight="1" x14ac:dyDescent="0.3">
      <c r="F348" s="14"/>
      <c r="G348" s="14"/>
      <c r="H348" s="14"/>
      <c r="I348" s="14"/>
    </row>
    <row r="349" spans="6:9" ht="15.75" customHeight="1" x14ac:dyDescent="0.3">
      <c r="F349" s="14"/>
      <c r="G349" s="14"/>
      <c r="H349" s="14"/>
      <c r="I349" s="14"/>
    </row>
    <row r="350" spans="6:9" ht="15.75" customHeight="1" x14ac:dyDescent="0.3">
      <c r="F350" s="14"/>
      <c r="G350" s="14"/>
      <c r="H350" s="14"/>
      <c r="I350" s="14"/>
    </row>
    <row r="351" spans="6:9" ht="15.75" customHeight="1" x14ac:dyDescent="0.3">
      <c r="F351" s="14"/>
      <c r="G351" s="14"/>
      <c r="H351" s="14"/>
      <c r="I351" s="14"/>
    </row>
    <row r="352" spans="6:9" ht="15.75" customHeight="1" x14ac:dyDescent="0.3">
      <c r="F352" s="14"/>
      <c r="G352" s="14"/>
      <c r="H352" s="14"/>
      <c r="I352" s="14"/>
    </row>
    <row r="353" spans="6:9" ht="15.75" customHeight="1" x14ac:dyDescent="0.3">
      <c r="F353" s="14"/>
      <c r="G353" s="14"/>
      <c r="H353" s="14"/>
      <c r="I353" s="14"/>
    </row>
    <row r="354" spans="6:9" ht="15.75" customHeight="1" x14ac:dyDescent="0.3">
      <c r="F354" s="14"/>
      <c r="G354" s="14"/>
      <c r="H354" s="14"/>
      <c r="I354" s="14"/>
    </row>
    <row r="355" spans="6:9" ht="15.75" customHeight="1" x14ac:dyDescent="0.3">
      <c r="F355" s="14"/>
      <c r="G355" s="14"/>
      <c r="H355" s="14"/>
      <c r="I355" s="14"/>
    </row>
    <row r="356" spans="6:9" ht="15.75" customHeight="1" x14ac:dyDescent="0.3">
      <c r="F356" s="14"/>
      <c r="G356" s="14"/>
      <c r="H356" s="14"/>
      <c r="I356" s="14"/>
    </row>
    <row r="357" spans="6:9" ht="15.75" customHeight="1" x14ac:dyDescent="0.3">
      <c r="F357" s="14"/>
      <c r="G357" s="14"/>
      <c r="H357" s="14"/>
      <c r="I357" s="14"/>
    </row>
    <row r="358" spans="6:9" ht="15.75" customHeight="1" x14ac:dyDescent="0.3">
      <c r="F358" s="14"/>
      <c r="G358" s="14"/>
      <c r="H358" s="14"/>
      <c r="I358" s="14"/>
    </row>
    <row r="359" spans="6:9" ht="15.75" customHeight="1" x14ac:dyDescent="0.3">
      <c r="F359" s="14"/>
      <c r="G359" s="14"/>
      <c r="H359" s="14"/>
      <c r="I359" s="14"/>
    </row>
    <row r="360" spans="6:9" ht="15.75" customHeight="1" x14ac:dyDescent="0.3">
      <c r="F360" s="14"/>
      <c r="G360" s="14"/>
      <c r="H360" s="14"/>
      <c r="I360" s="14"/>
    </row>
    <row r="361" spans="6:9" ht="15.75" customHeight="1" x14ac:dyDescent="0.3">
      <c r="F361" s="14"/>
      <c r="G361" s="14"/>
      <c r="H361" s="14"/>
      <c r="I361" s="14"/>
    </row>
    <row r="362" spans="6:9" ht="15.75" customHeight="1" x14ac:dyDescent="0.3">
      <c r="F362" s="14"/>
      <c r="G362" s="14"/>
      <c r="H362" s="14"/>
      <c r="I362" s="14"/>
    </row>
    <row r="363" spans="6:9" ht="15.75" customHeight="1" x14ac:dyDescent="0.3">
      <c r="F363" s="14"/>
      <c r="G363" s="14"/>
      <c r="H363" s="14"/>
      <c r="I363" s="14"/>
    </row>
    <row r="364" spans="6:9" ht="15.75" customHeight="1" x14ac:dyDescent="0.3">
      <c r="F364" s="14"/>
      <c r="G364" s="14"/>
      <c r="H364" s="14"/>
      <c r="I364" s="14"/>
    </row>
    <row r="365" spans="6:9" ht="15.75" customHeight="1" x14ac:dyDescent="0.3">
      <c r="F365" s="14"/>
      <c r="G365" s="14"/>
      <c r="H365" s="14"/>
      <c r="I365" s="14"/>
    </row>
    <row r="366" spans="6:9" ht="15.75" customHeight="1" x14ac:dyDescent="0.3">
      <c r="F366" s="14"/>
      <c r="G366" s="14"/>
      <c r="H366" s="14"/>
      <c r="I366" s="14"/>
    </row>
    <row r="367" spans="6:9" ht="15.75" customHeight="1" x14ac:dyDescent="0.3">
      <c r="F367" s="14"/>
      <c r="G367" s="14"/>
      <c r="H367" s="14"/>
      <c r="I367" s="14"/>
    </row>
    <row r="368" spans="6:9" ht="15.75" customHeight="1" x14ac:dyDescent="0.3">
      <c r="F368" s="14"/>
      <c r="G368" s="14"/>
      <c r="H368" s="14"/>
      <c r="I368" s="14"/>
    </row>
    <row r="369" spans="6:9" ht="15.75" customHeight="1" x14ac:dyDescent="0.3">
      <c r="F369" s="14"/>
      <c r="G369" s="14"/>
      <c r="H369" s="14"/>
      <c r="I369" s="14"/>
    </row>
    <row r="370" spans="6:9" ht="15.75" customHeight="1" x14ac:dyDescent="0.3">
      <c r="F370" s="14"/>
      <c r="G370" s="14"/>
      <c r="H370" s="14"/>
      <c r="I370" s="14"/>
    </row>
    <row r="371" spans="6:9" ht="15.75" customHeight="1" x14ac:dyDescent="0.3">
      <c r="F371" s="14"/>
      <c r="G371" s="14"/>
      <c r="H371" s="14"/>
      <c r="I371" s="14"/>
    </row>
    <row r="372" spans="6:9" ht="15.75" customHeight="1" x14ac:dyDescent="0.3">
      <c r="F372" s="14"/>
      <c r="G372" s="14"/>
      <c r="H372" s="14"/>
      <c r="I372" s="14"/>
    </row>
    <row r="373" spans="6:9" ht="15.75" customHeight="1" x14ac:dyDescent="0.3">
      <c r="F373" s="14"/>
      <c r="G373" s="14"/>
      <c r="H373" s="14"/>
      <c r="I373" s="14"/>
    </row>
    <row r="374" spans="6:9" ht="15.75" customHeight="1" x14ac:dyDescent="0.3">
      <c r="F374" s="14"/>
      <c r="G374" s="14"/>
      <c r="H374" s="14"/>
      <c r="I374" s="14"/>
    </row>
    <row r="375" spans="6:9" ht="15.75" customHeight="1" x14ac:dyDescent="0.3">
      <c r="F375" s="14"/>
      <c r="G375" s="14"/>
      <c r="H375" s="14"/>
      <c r="I375" s="14"/>
    </row>
    <row r="376" spans="6:9" ht="15.75" customHeight="1" x14ac:dyDescent="0.3">
      <c r="F376" s="14"/>
      <c r="G376" s="14"/>
      <c r="H376" s="14"/>
      <c r="I376" s="14"/>
    </row>
    <row r="377" spans="6:9" ht="15.75" customHeight="1" x14ac:dyDescent="0.3">
      <c r="F377" s="14"/>
      <c r="G377" s="14"/>
      <c r="H377" s="14"/>
      <c r="I377" s="14"/>
    </row>
    <row r="378" spans="6:9" ht="15.75" customHeight="1" x14ac:dyDescent="0.3">
      <c r="F378" s="14"/>
      <c r="G378" s="14"/>
      <c r="H378" s="14"/>
      <c r="I378" s="14"/>
    </row>
    <row r="379" spans="6:9" ht="15.75" customHeight="1" x14ac:dyDescent="0.3">
      <c r="F379" s="14"/>
      <c r="G379" s="14"/>
      <c r="H379" s="14"/>
      <c r="I379" s="14"/>
    </row>
    <row r="380" spans="6:9" ht="15.75" customHeight="1" x14ac:dyDescent="0.3">
      <c r="F380" s="14"/>
      <c r="G380" s="14"/>
      <c r="H380" s="14"/>
      <c r="I380" s="14"/>
    </row>
    <row r="381" spans="6:9" ht="15.75" customHeight="1" x14ac:dyDescent="0.3">
      <c r="F381" s="14"/>
      <c r="G381" s="14"/>
      <c r="H381" s="14"/>
      <c r="I381" s="14"/>
    </row>
    <row r="382" spans="6:9" ht="15.75" customHeight="1" x14ac:dyDescent="0.3">
      <c r="F382" s="14"/>
      <c r="G382" s="14"/>
      <c r="H382" s="14"/>
      <c r="I382" s="14"/>
    </row>
    <row r="383" spans="6:9" ht="15.75" customHeight="1" x14ac:dyDescent="0.3">
      <c r="F383" s="14"/>
      <c r="G383" s="14"/>
      <c r="H383" s="14"/>
      <c r="I383" s="14"/>
    </row>
    <row r="384" spans="6:9" ht="15.75" customHeight="1" x14ac:dyDescent="0.3">
      <c r="F384" s="14"/>
      <c r="G384" s="14"/>
      <c r="H384" s="14"/>
      <c r="I384" s="14"/>
    </row>
    <row r="385" spans="6:9" ht="15.75" customHeight="1" x14ac:dyDescent="0.3">
      <c r="F385" s="14"/>
      <c r="G385" s="14"/>
      <c r="H385" s="14"/>
      <c r="I385" s="14"/>
    </row>
    <row r="386" spans="6:9" ht="15.75" customHeight="1" x14ac:dyDescent="0.3">
      <c r="F386" s="14"/>
      <c r="G386" s="14"/>
      <c r="H386" s="14"/>
      <c r="I386" s="14"/>
    </row>
    <row r="387" spans="6:9" ht="15.75" customHeight="1" x14ac:dyDescent="0.3">
      <c r="F387" s="14"/>
      <c r="G387" s="14"/>
      <c r="H387" s="14"/>
      <c r="I387" s="14"/>
    </row>
    <row r="388" spans="6:9" ht="15.75" customHeight="1" x14ac:dyDescent="0.3">
      <c r="F388" s="14"/>
      <c r="G388" s="14"/>
      <c r="H388" s="14"/>
      <c r="I388" s="14"/>
    </row>
    <row r="389" spans="6:9" ht="15.75" customHeight="1" x14ac:dyDescent="0.3">
      <c r="F389" s="14"/>
      <c r="G389" s="14"/>
      <c r="H389" s="14"/>
      <c r="I389" s="14"/>
    </row>
    <row r="390" spans="6:9" ht="15.75" customHeight="1" x14ac:dyDescent="0.3">
      <c r="F390" s="14"/>
      <c r="G390" s="14"/>
      <c r="H390" s="14"/>
      <c r="I390" s="14"/>
    </row>
    <row r="391" spans="6:9" ht="15.75" customHeight="1" x14ac:dyDescent="0.3">
      <c r="F391" s="14"/>
      <c r="G391" s="14"/>
      <c r="H391" s="14"/>
      <c r="I391" s="14"/>
    </row>
    <row r="392" spans="6:9" ht="15.75" customHeight="1" x14ac:dyDescent="0.3">
      <c r="F392" s="14"/>
      <c r="G392" s="14"/>
      <c r="H392" s="14"/>
      <c r="I392" s="14"/>
    </row>
    <row r="393" spans="6:9" ht="15.75" customHeight="1" x14ac:dyDescent="0.3">
      <c r="F393" s="14"/>
      <c r="G393" s="14"/>
      <c r="H393" s="14"/>
      <c r="I393" s="14"/>
    </row>
    <row r="394" spans="6:9" ht="15.75" customHeight="1" x14ac:dyDescent="0.3">
      <c r="F394" s="14"/>
      <c r="G394" s="14"/>
      <c r="H394" s="14"/>
      <c r="I394" s="14"/>
    </row>
    <row r="395" spans="6:9" ht="15.75" customHeight="1" x14ac:dyDescent="0.3">
      <c r="F395" s="14"/>
      <c r="G395" s="14"/>
      <c r="H395" s="14"/>
      <c r="I395" s="14"/>
    </row>
    <row r="396" spans="6:9" ht="15.75" customHeight="1" x14ac:dyDescent="0.3">
      <c r="F396" s="14"/>
      <c r="G396" s="14"/>
      <c r="H396" s="14"/>
      <c r="I396" s="14"/>
    </row>
    <row r="397" spans="6:9" ht="15.75" customHeight="1" x14ac:dyDescent="0.3">
      <c r="F397" s="14"/>
      <c r="G397" s="14"/>
      <c r="H397" s="14"/>
      <c r="I397" s="14"/>
    </row>
    <row r="398" spans="6:9" ht="15.75" customHeight="1" x14ac:dyDescent="0.3">
      <c r="F398" s="14"/>
      <c r="G398" s="14"/>
      <c r="H398" s="14"/>
      <c r="I398" s="14"/>
    </row>
    <row r="399" spans="6:9" ht="15.75" customHeight="1" x14ac:dyDescent="0.3">
      <c r="F399" s="14"/>
      <c r="G399" s="14"/>
      <c r="H399" s="14"/>
      <c r="I399" s="14"/>
    </row>
    <row r="400" spans="6:9" ht="15.75" customHeight="1" x14ac:dyDescent="0.3">
      <c r="F400" s="14"/>
      <c r="G400" s="14"/>
      <c r="H400" s="14"/>
      <c r="I400" s="14"/>
    </row>
    <row r="401" spans="6:9" ht="15.75" customHeight="1" x14ac:dyDescent="0.3">
      <c r="F401" s="14"/>
      <c r="G401" s="14"/>
      <c r="H401" s="14"/>
      <c r="I401" s="14"/>
    </row>
    <row r="402" spans="6:9" ht="15.75" customHeight="1" x14ac:dyDescent="0.3">
      <c r="F402" s="14"/>
      <c r="G402" s="14"/>
      <c r="H402" s="14"/>
      <c r="I402" s="14"/>
    </row>
    <row r="403" spans="6:9" ht="15.75" customHeight="1" x14ac:dyDescent="0.3">
      <c r="F403" s="14"/>
      <c r="G403" s="14"/>
      <c r="H403" s="14"/>
      <c r="I403" s="14"/>
    </row>
    <row r="404" spans="6:9" ht="15.75" customHeight="1" x14ac:dyDescent="0.3">
      <c r="F404" s="14"/>
      <c r="G404" s="14"/>
      <c r="H404" s="14"/>
      <c r="I404" s="14"/>
    </row>
    <row r="405" spans="6:9" ht="15.75" customHeight="1" x14ac:dyDescent="0.3">
      <c r="F405" s="14"/>
      <c r="G405" s="14"/>
      <c r="H405" s="14"/>
      <c r="I405" s="14"/>
    </row>
    <row r="406" spans="6:9" ht="15.75" customHeight="1" x14ac:dyDescent="0.3">
      <c r="F406" s="14"/>
      <c r="G406" s="14"/>
      <c r="H406" s="14"/>
      <c r="I406" s="14"/>
    </row>
    <row r="407" spans="6:9" ht="15.75" customHeight="1" x14ac:dyDescent="0.3">
      <c r="F407" s="14"/>
      <c r="G407" s="14"/>
      <c r="H407" s="14"/>
      <c r="I407" s="14"/>
    </row>
    <row r="408" spans="6:9" ht="15.75" customHeight="1" x14ac:dyDescent="0.3">
      <c r="F408" s="14"/>
      <c r="G408" s="14"/>
      <c r="H408" s="14"/>
      <c r="I408" s="14"/>
    </row>
    <row r="409" spans="6:9" ht="15.75" customHeight="1" x14ac:dyDescent="0.3">
      <c r="F409" s="14"/>
      <c r="G409" s="14"/>
      <c r="H409" s="14"/>
      <c r="I409" s="14"/>
    </row>
    <row r="410" spans="6:9" ht="15.75" customHeight="1" x14ac:dyDescent="0.3">
      <c r="F410" s="14"/>
      <c r="G410" s="14"/>
      <c r="H410" s="14"/>
      <c r="I410" s="14"/>
    </row>
    <row r="411" spans="6:9" ht="15.75" customHeight="1" x14ac:dyDescent="0.3">
      <c r="F411" s="14"/>
      <c r="G411" s="14"/>
      <c r="H411" s="14"/>
      <c r="I411" s="14"/>
    </row>
    <row r="412" spans="6:9" ht="15.75" customHeight="1" x14ac:dyDescent="0.3">
      <c r="F412" s="14"/>
      <c r="G412" s="14"/>
      <c r="H412" s="14"/>
      <c r="I412" s="14"/>
    </row>
    <row r="413" spans="6:9" ht="15.75" customHeight="1" x14ac:dyDescent="0.3">
      <c r="F413" s="14"/>
      <c r="G413" s="14"/>
      <c r="H413" s="14"/>
      <c r="I413" s="14"/>
    </row>
    <row r="414" spans="6:9" ht="15.75" customHeight="1" x14ac:dyDescent="0.3">
      <c r="F414" s="14"/>
      <c r="G414" s="14"/>
      <c r="H414" s="14"/>
      <c r="I414" s="14"/>
    </row>
    <row r="415" spans="6:9" ht="15.75" customHeight="1" x14ac:dyDescent="0.3">
      <c r="F415" s="14"/>
      <c r="G415" s="14"/>
      <c r="H415" s="14"/>
      <c r="I415" s="14"/>
    </row>
    <row r="416" spans="6:9" ht="15.75" customHeight="1" x14ac:dyDescent="0.3">
      <c r="F416" s="14"/>
      <c r="G416" s="14"/>
      <c r="H416" s="14"/>
      <c r="I416" s="14"/>
    </row>
    <row r="417" spans="6:9" ht="15.75" customHeight="1" x14ac:dyDescent="0.3">
      <c r="F417" s="14"/>
      <c r="G417" s="14"/>
      <c r="H417" s="14"/>
      <c r="I417" s="14"/>
    </row>
    <row r="418" spans="6:9" ht="15.75" customHeight="1" x14ac:dyDescent="0.3">
      <c r="F418" s="14"/>
      <c r="G418" s="14"/>
      <c r="H418" s="14"/>
      <c r="I418" s="14"/>
    </row>
    <row r="419" spans="6:9" ht="15.75" customHeight="1" x14ac:dyDescent="0.3">
      <c r="F419" s="14"/>
      <c r="G419" s="14"/>
      <c r="H419" s="14"/>
      <c r="I419" s="14"/>
    </row>
    <row r="420" spans="6:9" ht="15.75" customHeight="1" x14ac:dyDescent="0.3">
      <c r="F420" s="14"/>
      <c r="G420" s="14"/>
      <c r="H420" s="14"/>
      <c r="I420" s="14"/>
    </row>
    <row r="421" spans="6:9" ht="15.75" customHeight="1" x14ac:dyDescent="0.3">
      <c r="F421" s="14"/>
      <c r="G421" s="14"/>
      <c r="H421" s="14"/>
      <c r="I421" s="14"/>
    </row>
    <row r="422" spans="6:9" ht="15.75" customHeight="1" x14ac:dyDescent="0.3">
      <c r="F422" s="14"/>
      <c r="G422" s="14"/>
      <c r="H422" s="14"/>
      <c r="I422" s="14"/>
    </row>
    <row r="423" spans="6:9" ht="15.75" customHeight="1" x14ac:dyDescent="0.3">
      <c r="F423" s="14"/>
      <c r="G423" s="14"/>
      <c r="H423" s="14"/>
      <c r="I423" s="14"/>
    </row>
    <row r="424" spans="6:9" ht="15.75" customHeight="1" x14ac:dyDescent="0.3">
      <c r="F424" s="14"/>
      <c r="G424" s="14"/>
      <c r="H424" s="14"/>
      <c r="I424" s="14"/>
    </row>
    <row r="425" spans="6:9" ht="15.75" customHeight="1" x14ac:dyDescent="0.3">
      <c r="F425" s="14"/>
      <c r="G425" s="14"/>
      <c r="H425" s="14"/>
      <c r="I425" s="14"/>
    </row>
    <row r="426" spans="6:9" ht="15.75" customHeight="1" x14ac:dyDescent="0.3">
      <c r="F426" s="14"/>
      <c r="G426" s="14"/>
      <c r="H426" s="14"/>
      <c r="I426" s="14"/>
    </row>
    <row r="427" spans="6:9" ht="15.75" customHeight="1" x14ac:dyDescent="0.3">
      <c r="F427" s="14"/>
      <c r="G427" s="14"/>
      <c r="H427" s="14"/>
      <c r="I427" s="14"/>
    </row>
    <row r="428" spans="6:9" ht="15.75" customHeight="1" x14ac:dyDescent="0.3">
      <c r="F428" s="14"/>
      <c r="G428" s="14"/>
      <c r="H428" s="14"/>
      <c r="I428" s="14"/>
    </row>
    <row r="429" spans="6:9" ht="15.75" customHeight="1" x14ac:dyDescent="0.3">
      <c r="F429" s="14"/>
      <c r="G429" s="14"/>
      <c r="H429" s="14"/>
      <c r="I429" s="14"/>
    </row>
    <row r="430" spans="6:9" ht="15.75" customHeight="1" x14ac:dyDescent="0.3">
      <c r="F430" s="14"/>
      <c r="G430" s="14"/>
      <c r="H430" s="14"/>
      <c r="I430" s="14"/>
    </row>
    <row r="431" spans="6:9" ht="15.75" customHeight="1" x14ac:dyDescent="0.3">
      <c r="F431" s="14"/>
      <c r="G431" s="14"/>
      <c r="H431" s="14"/>
      <c r="I431" s="14"/>
    </row>
    <row r="432" spans="6:9" ht="15.75" customHeight="1" x14ac:dyDescent="0.3">
      <c r="F432" s="14"/>
      <c r="G432" s="14"/>
      <c r="H432" s="14"/>
      <c r="I432" s="14"/>
    </row>
    <row r="433" spans="6:9" ht="15.75" customHeight="1" x14ac:dyDescent="0.3">
      <c r="F433" s="14"/>
      <c r="G433" s="14"/>
      <c r="H433" s="14"/>
      <c r="I433" s="14"/>
    </row>
    <row r="434" spans="6:9" ht="15.75" customHeight="1" x14ac:dyDescent="0.3">
      <c r="F434" s="14"/>
      <c r="G434" s="14"/>
      <c r="H434" s="14"/>
      <c r="I434" s="14"/>
    </row>
    <row r="435" spans="6:9" ht="15.75" customHeight="1" x14ac:dyDescent="0.3">
      <c r="F435" s="14"/>
      <c r="G435" s="14"/>
      <c r="H435" s="14"/>
      <c r="I435" s="14"/>
    </row>
    <row r="436" spans="6:9" ht="15.75" customHeight="1" x14ac:dyDescent="0.3">
      <c r="F436" s="14"/>
      <c r="G436" s="14"/>
      <c r="H436" s="14"/>
      <c r="I436" s="14"/>
    </row>
    <row r="437" spans="6:9" ht="15.75" customHeight="1" x14ac:dyDescent="0.3">
      <c r="F437" s="14"/>
      <c r="G437" s="14"/>
      <c r="H437" s="14"/>
      <c r="I437" s="14"/>
    </row>
    <row r="438" spans="6:9" ht="15.75" customHeight="1" x14ac:dyDescent="0.3">
      <c r="F438" s="14"/>
      <c r="G438" s="14"/>
      <c r="H438" s="14"/>
      <c r="I438" s="14"/>
    </row>
    <row r="439" spans="6:9" ht="15.75" customHeight="1" x14ac:dyDescent="0.3">
      <c r="F439" s="14"/>
      <c r="G439" s="14"/>
      <c r="H439" s="14"/>
      <c r="I439" s="14"/>
    </row>
    <row r="440" spans="6:9" ht="15.75" customHeight="1" x14ac:dyDescent="0.3">
      <c r="F440" s="14"/>
      <c r="G440" s="14"/>
      <c r="H440" s="14"/>
      <c r="I440" s="14"/>
    </row>
    <row r="441" spans="6:9" ht="15.75" customHeight="1" x14ac:dyDescent="0.3">
      <c r="F441" s="14"/>
      <c r="G441" s="14"/>
      <c r="H441" s="14"/>
      <c r="I441" s="14"/>
    </row>
    <row r="442" spans="6:9" ht="15.75" customHeight="1" x14ac:dyDescent="0.3">
      <c r="F442" s="14"/>
      <c r="G442" s="14"/>
      <c r="H442" s="14"/>
      <c r="I442" s="14"/>
    </row>
    <row r="443" spans="6:9" ht="15.75" customHeight="1" x14ac:dyDescent="0.3">
      <c r="F443" s="14"/>
      <c r="G443" s="14"/>
      <c r="H443" s="14"/>
      <c r="I443" s="14"/>
    </row>
    <row r="444" spans="6:9" ht="15.75" customHeight="1" x14ac:dyDescent="0.3">
      <c r="F444" s="14"/>
      <c r="G444" s="14"/>
      <c r="H444" s="14"/>
      <c r="I444" s="14"/>
    </row>
    <row r="445" spans="6:9" ht="15.75" customHeight="1" x14ac:dyDescent="0.3">
      <c r="F445" s="14"/>
      <c r="G445" s="14"/>
      <c r="H445" s="14"/>
      <c r="I445" s="14"/>
    </row>
    <row r="446" spans="6:9" ht="15.75" customHeight="1" x14ac:dyDescent="0.3">
      <c r="F446" s="14"/>
      <c r="G446" s="14"/>
      <c r="H446" s="14"/>
      <c r="I446" s="14"/>
    </row>
    <row r="447" spans="6:9" ht="15.75" customHeight="1" x14ac:dyDescent="0.3">
      <c r="F447" s="14"/>
      <c r="G447" s="14"/>
      <c r="H447" s="14"/>
      <c r="I447" s="14"/>
    </row>
    <row r="448" spans="6:9" ht="15.75" customHeight="1" x14ac:dyDescent="0.3">
      <c r="F448" s="14"/>
      <c r="G448" s="14"/>
      <c r="H448" s="14"/>
      <c r="I448" s="14"/>
    </row>
    <row r="449" spans="6:9" ht="15.75" customHeight="1" x14ac:dyDescent="0.3">
      <c r="F449" s="14"/>
      <c r="G449" s="14"/>
      <c r="H449" s="14"/>
      <c r="I449" s="14"/>
    </row>
    <row r="450" spans="6:9" ht="15.75" customHeight="1" x14ac:dyDescent="0.3">
      <c r="F450" s="14"/>
      <c r="G450" s="14"/>
      <c r="H450" s="14"/>
      <c r="I450" s="14"/>
    </row>
    <row r="451" spans="6:9" ht="15.75" customHeight="1" x14ac:dyDescent="0.3">
      <c r="F451" s="14"/>
      <c r="G451" s="14"/>
      <c r="H451" s="14"/>
      <c r="I451" s="14"/>
    </row>
    <row r="452" spans="6:9" ht="15.75" customHeight="1" x14ac:dyDescent="0.3">
      <c r="F452" s="14"/>
      <c r="G452" s="14"/>
      <c r="H452" s="14"/>
      <c r="I452" s="14"/>
    </row>
    <row r="453" spans="6:9" ht="15.75" customHeight="1" x14ac:dyDescent="0.3">
      <c r="F453" s="14"/>
      <c r="G453" s="14"/>
      <c r="H453" s="14"/>
      <c r="I453" s="14"/>
    </row>
    <row r="454" spans="6:9" ht="15.75" customHeight="1" x14ac:dyDescent="0.3">
      <c r="F454" s="14"/>
      <c r="G454" s="14"/>
      <c r="H454" s="14"/>
      <c r="I454" s="14"/>
    </row>
    <row r="455" spans="6:9" ht="15.75" customHeight="1" x14ac:dyDescent="0.3">
      <c r="F455" s="14"/>
      <c r="G455" s="14"/>
      <c r="H455" s="14"/>
      <c r="I455" s="14"/>
    </row>
    <row r="456" spans="6:9" ht="15.75" customHeight="1" x14ac:dyDescent="0.3">
      <c r="F456" s="14"/>
      <c r="G456" s="14"/>
      <c r="H456" s="14"/>
      <c r="I456" s="14"/>
    </row>
    <row r="457" spans="6:9" ht="15.75" customHeight="1" x14ac:dyDescent="0.3">
      <c r="F457" s="14"/>
      <c r="G457" s="14"/>
      <c r="H457" s="14"/>
      <c r="I457" s="14"/>
    </row>
    <row r="458" spans="6:9" ht="15.75" customHeight="1" x14ac:dyDescent="0.3">
      <c r="F458" s="14"/>
      <c r="G458" s="14"/>
      <c r="H458" s="14"/>
      <c r="I458" s="14"/>
    </row>
    <row r="459" spans="6:9" ht="15.75" customHeight="1" x14ac:dyDescent="0.3">
      <c r="F459" s="14"/>
      <c r="G459" s="14"/>
      <c r="H459" s="14"/>
      <c r="I459" s="14"/>
    </row>
    <row r="460" spans="6:9" ht="15.75" customHeight="1" x14ac:dyDescent="0.3">
      <c r="F460" s="14"/>
      <c r="G460" s="14"/>
      <c r="H460" s="14"/>
      <c r="I460" s="14"/>
    </row>
    <row r="461" spans="6:9" ht="15.75" customHeight="1" x14ac:dyDescent="0.3">
      <c r="F461" s="14"/>
      <c r="G461" s="14"/>
      <c r="H461" s="14"/>
      <c r="I461" s="14"/>
    </row>
    <row r="462" spans="6:9" ht="15.75" customHeight="1" x14ac:dyDescent="0.3">
      <c r="F462" s="14"/>
      <c r="G462" s="14"/>
      <c r="H462" s="14"/>
      <c r="I462" s="14"/>
    </row>
    <row r="463" spans="6:9" ht="15.75" customHeight="1" x14ac:dyDescent="0.3">
      <c r="F463" s="14"/>
      <c r="G463" s="14"/>
      <c r="H463" s="14"/>
      <c r="I463" s="14"/>
    </row>
    <row r="464" spans="6:9" ht="15.75" customHeight="1" x14ac:dyDescent="0.3">
      <c r="F464" s="14"/>
      <c r="G464" s="14"/>
      <c r="H464" s="14"/>
      <c r="I464" s="14"/>
    </row>
    <row r="465" spans="6:9" ht="15.75" customHeight="1" x14ac:dyDescent="0.3">
      <c r="F465" s="14"/>
      <c r="G465" s="14"/>
      <c r="H465" s="14"/>
      <c r="I465" s="14"/>
    </row>
    <row r="466" spans="6:9" ht="15.75" customHeight="1" x14ac:dyDescent="0.3">
      <c r="F466" s="14"/>
      <c r="G466" s="14"/>
      <c r="H466" s="14"/>
      <c r="I466" s="14"/>
    </row>
    <row r="467" spans="6:9" ht="15.75" customHeight="1" x14ac:dyDescent="0.3">
      <c r="F467" s="14"/>
      <c r="G467" s="14"/>
      <c r="H467" s="14"/>
      <c r="I467" s="14"/>
    </row>
    <row r="468" spans="6:9" ht="15.75" customHeight="1" x14ac:dyDescent="0.3">
      <c r="F468" s="14"/>
      <c r="G468" s="14"/>
      <c r="H468" s="14"/>
      <c r="I468" s="14"/>
    </row>
    <row r="469" spans="6:9" ht="15.75" customHeight="1" x14ac:dyDescent="0.3">
      <c r="F469" s="14"/>
      <c r="G469" s="14"/>
      <c r="H469" s="14"/>
      <c r="I469" s="14"/>
    </row>
    <row r="470" spans="6:9" ht="15.75" customHeight="1" x14ac:dyDescent="0.3">
      <c r="F470" s="14"/>
      <c r="G470" s="14"/>
      <c r="H470" s="14"/>
      <c r="I470" s="14"/>
    </row>
    <row r="471" spans="6:9" ht="15.75" customHeight="1" x14ac:dyDescent="0.3">
      <c r="F471" s="14"/>
      <c r="G471" s="14"/>
      <c r="H471" s="14"/>
      <c r="I471" s="14"/>
    </row>
    <row r="472" spans="6:9" ht="15.75" customHeight="1" x14ac:dyDescent="0.3">
      <c r="F472" s="14"/>
      <c r="G472" s="14"/>
      <c r="H472" s="14"/>
      <c r="I472" s="14"/>
    </row>
    <row r="473" spans="6:9" ht="15.75" customHeight="1" x14ac:dyDescent="0.3">
      <c r="F473" s="14"/>
      <c r="G473" s="14"/>
      <c r="H473" s="14"/>
      <c r="I473" s="14"/>
    </row>
    <row r="474" spans="6:9" ht="15.75" customHeight="1" x14ac:dyDescent="0.3">
      <c r="F474" s="14"/>
      <c r="G474" s="14"/>
      <c r="H474" s="14"/>
      <c r="I474" s="14"/>
    </row>
    <row r="475" spans="6:9" ht="15.75" customHeight="1" x14ac:dyDescent="0.3">
      <c r="F475" s="14"/>
      <c r="G475" s="14"/>
      <c r="H475" s="14"/>
      <c r="I475" s="14"/>
    </row>
    <row r="476" spans="6:9" ht="15.75" customHeight="1" x14ac:dyDescent="0.3">
      <c r="F476" s="14"/>
      <c r="G476" s="14"/>
      <c r="H476" s="14"/>
      <c r="I476" s="14"/>
    </row>
    <row r="477" spans="6:9" ht="15.75" customHeight="1" x14ac:dyDescent="0.3">
      <c r="F477" s="14"/>
      <c r="G477" s="14"/>
      <c r="H477" s="14"/>
      <c r="I477" s="14"/>
    </row>
    <row r="478" spans="6:9" ht="15.75" customHeight="1" x14ac:dyDescent="0.3">
      <c r="F478" s="14"/>
      <c r="G478" s="14"/>
      <c r="H478" s="14"/>
      <c r="I478" s="14"/>
    </row>
    <row r="479" spans="6:9" ht="15.75" customHeight="1" x14ac:dyDescent="0.3">
      <c r="F479" s="14"/>
      <c r="G479" s="14"/>
      <c r="H479" s="14"/>
      <c r="I479" s="14"/>
    </row>
    <row r="480" spans="6:9" ht="15.75" customHeight="1" x14ac:dyDescent="0.3">
      <c r="F480" s="14"/>
      <c r="G480" s="14"/>
      <c r="H480" s="14"/>
      <c r="I480" s="14"/>
    </row>
    <row r="481" spans="6:9" ht="15.75" customHeight="1" x14ac:dyDescent="0.3">
      <c r="F481" s="14"/>
      <c r="G481" s="14"/>
      <c r="H481" s="14"/>
      <c r="I481" s="14"/>
    </row>
    <row r="482" spans="6:9" ht="15.75" customHeight="1" x14ac:dyDescent="0.3">
      <c r="F482" s="14"/>
      <c r="G482" s="14"/>
      <c r="H482" s="14"/>
      <c r="I482" s="14"/>
    </row>
    <row r="483" spans="6:9" ht="15.75" customHeight="1" x14ac:dyDescent="0.3">
      <c r="F483" s="14"/>
      <c r="G483" s="14"/>
      <c r="H483" s="14"/>
      <c r="I483" s="14"/>
    </row>
    <row r="484" spans="6:9" ht="15.75" customHeight="1" x14ac:dyDescent="0.3">
      <c r="F484" s="14"/>
      <c r="G484" s="14"/>
      <c r="H484" s="14"/>
      <c r="I484" s="14"/>
    </row>
    <row r="485" spans="6:9" ht="15.75" customHeight="1" x14ac:dyDescent="0.3">
      <c r="F485" s="14"/>
      <c r="G485" s="14"/>
      <c r="H485" s="14"/>
      <c r="I485" s="14"/>
    </row>
    <row r="486" spans="6:9" ht="15.75" customHeight="1" x14ac:dyDescent="0.3">
      <c r="F486" s="14"/>
      <c r="G486" s="14"/>
      <c r="H486" s="14"/>
      <c r="I486" s="14"/>
    </row>
    <row r="487" spans="6:9" ht="15.75" customHeight="1" x14ac:dyDescent="0.3">
      <c r="F487" s="14"/>
      <c r="G487" s="14"/>
      <c r="H487" s="14"/>
      <c r="I487" s="14"/>
    </row>
    <row r="488" spans="6:9" ht="15.75" customHeight="1" x14ac:dyDescent="0.3">
      <c r="F488" s="14"/>
      <c r="G488" s="14"/>
      <c r="H488" s="14"/>
      <c r="I488" s="14"/>
    </row>
    <row r="489" spans="6:9" ht="15.75" customHeight="1" x14ac:dyDescent="0.3">
      <c r="F489" s="14"/>
      <c r="G489" s="14"/>
      <c r="H489" s="14"/>
      <c r="I489" s="14"/>
    </row>
    <row r="490" spans="6:9" ht="15.75" customHeight="1" x14ac:dyDescent="0.3">
      <c r="F490" s="14"/>
      <c r="G490" s="14"/>
      <c r="H490" s="14"/>
      <c r="I490" s="14"/>
    </row>
    <row r="491" spans="6:9" ht="15.75" customHeight="1" x14ac:dyDescent="0.3">
      <c r="F491" s="14"/>
      <c r="G491" s="14"/>
      <c r="H491" s="14"/>
      <c r="I491" s="14"/>
    </row>
    <row r="492" spans="6:9" ht="15.75" customHeight="1" x14ac:dyDescent="0.3">
      <c r="F492" s="14"/>
      <c r="G492" s="14"/>
      <c r="H492" s="14"/>
      <c r="I492" s="14"/>
    </row>
    <row r="493" spans="6:9" ht="15.75" customHeight="1" x14ac:dyDescent="0.3">
      <c r="F493" s="14"/>
      <c r="G493" s="14"/>
      <c r="H493" s="14"/>
      <c r="I493" s="14"/>
    </row>
    <row r="494" spans="6:9" ht="15.75" customHeight="1" x14ac:dyDescent="0.3">
      <c r="F494" s="14"/>
      <c r="G494" s="14"/>
      <c r="H494" s="14"/>
      <c r="I494" s="14"/>
    </row>
    <row r="495" spans="6:9" ht="15.75" customHeight="1" x14ac:dyDescent="0.3">
      <c r="F495" s="14"/>
      <c r="G495" s="14"/>
      <c r="H495" s="14"/>
      <c r="I495" s="14"/>
    </row>
    <row r="496" spans="6:9" ht="15.75" customHeight="1" x14ac:dyDescent="0.3">
      <c r="F496" s="14"/>
      <c r="G496" s="14"/>
      <c r="H496" s="14"/>
      <c r="I496" s="14"/>
    </row>
    <row r="497" spans="6:9" ht="15.75" customHeight="1" x14ac:dyDescent="0.3">
      <c r="F497" s="14"/>
      <c r="G497" s="14"/>
      <c r="H497" s="14"/>
      <c r="I497" s="14"/>
    </row>
    <row r="498" spans="6:9" ht="15.75" customHeight="1" x14ac:dyDescent="0.3">
      <c r="F498" s="14"/>
      <c r="G498" s="14"/>
      <c r="H498" s="14"/>
      <c r="I498" s="14"/>
    </row>
    <row r="499" spans="6:9" ht="15.75" customHeight="1" x14ac:dyDescent="0.3">
      <c r="F499" s="14"/>
      <c r="G499" s="14"/>
      <c r="H499" s="14"/>
      <c r="I499" s="14"/>
    </row>
    <row r="500" spans="6:9" ht="15.75" customHeight="1" x14ac:dyDescent="0.3">
      <c r="F500" s="14"/>
      <c r="G500" s="14"/>
      <c r="H500" s="14"/>
      <c r="I500" s="14"/>
    </row>
    <row r="501" spans="6:9" ht="15.75" customHeight="1" x14ac:dyDescent="0.3">
      <c r="F501" s="14"/>
      <c r="G501" s="14"/>
      <c r="H501" s="14"/>
      <c r="I501" s="14"/>
    </row>
    <row r="502" spans="6:9" ht="15.75" customHeight="1" x14ac:dyDescent="0.3">
      <c r="F502" s="14"/>
      <c r="G502" s="14"/>
      <c r="H502" s="14"/>
      <c r="I502" s="14"/>
    </row>
    <row r="503" spans="6:9" ht="15.75" customHeight="1" x14ac:dyDescent="0.3">
      <c r="F503" s="14"/>
      <c r="G503" s="14"/>
      <c r="H503" s="14"/>
      <c r="I503" s="14"/>
    </row>
    <row r="504" spans="6:9" ht="15.75" customHeight="1" x14ac:dyDescent="0.3">
      <c r="F504" s="14"/>
      <c r="G504" s="14"/>
      <c r="H504" s="14"/>
      <c r="I504" s="14"/>
    </row>
    <row r="505" spans="6:9" ht="15.75" customHeight="1" x14ac:dyDescent="0.3">
      <c r="F505" s="14"/>
      <c r="G505" s="14"/>
      <c r="H505" s="14"/>
      <c r="I505" s="14"/>
    </row>
    <row r="506" spans="6:9" ht="15.75" customHeight="1" x14ac:dyDescent="0.3">
      <c r="F506" s="14"/>
      <c r="G506" s="14"/>
      <c r="H506" s="14"/>
      <c r="I506" s="14"/>
    </row>
    <row r="507" spans="6:9" ht="15.75" customHeight="1" x14ac:dyDescent="0.3">
      <c r="F507" s="14"/>
      <c r="G507" s="14"/>
      <c r="H507" s="14"/>
      <c r="I507" s="14"/>
    </row>
    <row r="508" spans="6:9" ht="15.75" customHeight="1" x14ac:dyDescent="0.3">
      <c r="F508" s="14"/>
      <c r="G508" s="14"/>
      <c r="H508" s="14"/>
      <c r="I508" s="14"/>
    </row>
    <row r="509" spans="6:9" ht="15.75" customHeight="1" x14ac:dyDescent="0.3">
      <c r="F509" s="14"/>
      <c r="G509" s="14"/>
      <c r="H509" s="14"/>
      <c r="I509" s="14"/>
    </row>
    <row r="510" spans="6:9" ht="15.75" customHeight="1" x14ac:dyDescent="0.3">
      <c r="F510" s="14"/>
      <c r="G510" s="14"/>
      <c r="H510" s="14"/>
      <c r="I510" s="14"/>
    </row>
    <row r="511" spans="6:9" ht="15.75" customHeight="1" x14ac:dyDescent="0.3">
      <c r="F511" s="14"/>
      <c r="G511" s="14"/>
      <c r="H511" s="14"/>
      <c r="I511" s="14"/>
    </row>
    <row r="512" spans="6:9" ht="15.75" customHeight="1" x14ac:dyDescent="0.3">
      <c r="F512" s="14"/>
      <c r="G512" s="14"/>
      <c r="H512" s="14"/>
      <c r="I512" s="14"/>
    </row>
    <row r="513" spans="6:9" ht="15.75" customHeight="1" x14ac:dyDescent="0.3">
      <c r="F513" s="14"/>
      <c r="G513" s="14"/>
      <c r="H513" s="14"/>
      <c r="I513" s="14"/>
    </row>
    <row r="514" spans="6:9" ht="15.75" customHeight="1" x14ac:dyDescent="0.3">
      <c r="F514" s="14"/>
      <c r="G514" s="14"/>
      <c r="H514" s="14"/>
      <c r="I514" s="14"/>
    </row>
    <row r="515" spans="6:9" ht="15.75" customHeight="1" x14ac:dyDescent="0.3">
      <c r="F515" s="14"/>
      <c r="G515" s="14"/>
      <c r="H515" s="14"/>
      <c r="I515" s="14"/>
    </row>
    <row r="516" spans="6:9" ht="15.75" customHeight="1" x14ac:dyDescent="0.3">
      <c r="F516" s="14"/>
      <c r="G516" s="14"/>
      <c r="H516" s="14"/>
      <c r="I516" s="14"/>
    </row>
    <row r="517" spans="6:9" ht="15.75" customHeight="1" x14ac:dyDescent="0.3">
      <c r="F517" s="14"/>
      <c r="G517" s="14"/>
      <c r="H517" s="14"/>
      <c r="I517" s="14"/>
    </row>
    <row r="518" spans="6:9" ht="15.75" customHeight="1" x14ac:dyDescent="0.3">
      <c r="F518" s="14"/>
      <c r="G518" s="14"/>
      <c r="H518" s="14"/>
      <c r="I518" s="14"/>
    </row>
    <row r="519" spans="6:9" ht="15.75" customHeight="1" x14ac:dyDescent="0.3">
      <c r="F519" s="14"/>
      <c r="G519" s="14"/>
      <c r="H519" s="14"/>
      <c r="I519" s="14"/>
    </row>
    <row r="520" spans="6:9" ht="15.75" customHeight="1" x14ac:dyDescent="0.3">
      <c r="F520" s="14"/>
      <c r="G520" s="14"/>
      <c r="H520" s="14"/>
      <c r="I520" s="14"/>
    </row>
    <row r="521" spans="6:9" ht="15.75" customHeight="1" x14ac:dyDescent="0.3">
      <c r="F521" s="14"/>
      <c r="G521" s="14"/>
      <c r="H521" s="14"/>
      <c r="I521" s="14"/>
    </row>
    <row r="522" spans="6:9" ht="15.75" customHeight="1" x14ac:dyDescent="0.3">
      <c r="F522" s="14"/>
      <c r="G522" s="14"/>
      <c r="H522" s="14"/>
      <c r="I522" s="14"/>
    </row>
    <row r="523" spans="6:9" ht="15.75" customHeight="1" x14ac:dyDescent="0.3">
      <c r="F523" s="14"/>
      <c r="G523" s="14"/>
      <c r="H523" s="14"/>
      <c r="I523" s="14"/>
    </row>
    <row r="524" spans="6:9" ht="15.75" customHeight="1" x14ac:dyDescent="0.3">
      <c r="F524" s="14"/>
      <c r="G524" s="14"/>
      <c r="H524" s="14"/>
      <c r="I524" s="14"/>
    </row>
    <row r="525" spans="6:9" ht="15.75" customHeight="1" x14ac:dyDescent="0.3">
      <c r="F525" s="14"/>
      <c r="G525" s="14"/>
      <c r="H525" s="14"/>
      <c r="I525" s="14"/>
    </row>
    <row r="526" spans="6:9" ht="15.75" customHeight="1" x14ac:dyDescent="0.3">
      <c r="F526" s="14"/>
      <c r="G526" s="14"/>
      <c r="H526" s="14"/>
      <c r="I526" s="14"/>
    </row>
    <row r="527" spans="6:9" ht="15.75" customHeight="1" x14ac:dyDescent="0.3">
      <c r="F527" s="14"/>
      <c r="G527" s="14"/>
      <c r="H527" s="14"/>
      <c r="I527" s="14"/>
    </row>
    <row r="528" spans="6:9" ht="15.75" customHeight="1" x14ac:dyDescent="0.3">
      <c r="F528" s="14"/>
      <c r="G528" s="14"/>
      <c r="H528" s="14"/>
      <c r="I528" s="14"/>
    </row>
    <row r="529" spans="6:9" ht="15.75" customHeight="1" x14ac:dyDescent="0.3">
      <c r="F529" s="14"/>
      <c r="G529" s="14"/>
      <c r="H529" s="14"/>
      <c r="I529" s="14"/>
    </row>
    <row r="530" spans="6:9" ht="15.75" customHeight="1" x14ac:dyDescent="0.3">
      <c r="F530" s="14"/>
      <c r="G530" s="14"/>
      <c r="H530" s="14"/>
      <c r="I530" s="14"/>
    </row>
    <row r="531" spans="6:9" ht="15.75" customHeight="1" x14ac:dyDescent="0.3">
      <c r="F531" s="14"/>
      <c r="G531" s="14"/>
      <c r="H531" s="14"/>
      <c r="I531" s="14"/>
    </row>
    <row r="532" spans="6:9" ht="15.75" customHeight="1" x14ac:dyDescent="0.3">
      <c r="F532" s="14"/>
      <c r="G532" s="14"/>
      <c r="H532" s="14"/>
      <c r="I532" s="14"/>
    </row>
    <row r="533" spans="6:9" ht="15.75" customHeight="1" x14ac:dyDescent="0.3">
      <c r="F533" s="14"/>
      <c r="G533" s="14"/>
      <c r="H533" s="14"/>
      <c r="I533" s="14"/>
    </row>
    <row r="534" spans="6:9" ht="15.75" customHeight="1" x14ac:dyDescent="0.3">
      <c r="F534" s="14"/>
      <c r="G534" s="14"/>
      <c r="H534" s="14"/>
      <c r="I534" s="14"/>
    </row>
    <row r="535" spans="6:9" ht="15.75" customHeight="1" x14ac:dyDescent="0.3">
      <c r="F535" s="14"/>
      <c r="G535" s="14"/>
      <c r="H535" s="14"/>
      <c r="I535" s="14"/>
    </row>
    <row r="536" spans="6:9" ht="15.75" customHeight="1" x14ac:dyDescent="0.3">
      <c r="F536" s="14"/>
      <c r="G536" s="14"/>
      <c r="H536" s="14"/>
      <c r="I536" s="14"/>
    </row>
    <row r="537" spans="6:9" ht="15.75" customHeight="1" x14ac:dyDescent="0.3">
      <c r="F537" s="14"/>
      <c r="G537" s="14"/>
      <c r="H537" s="14"/>
      <c r="I537" s="14"/>
    </row>
    <row r="538" spans="6:9" ht="15.75" customHeight="1" x14ac:dyDescent="0.3">
      <c r="F538" s="14"/>
      <c r="G538" s="14"/>
      <c r="H538" s="14"/>
      <c r="I538" s="14"/>
    </row>
    <row r="539" spans="6:9" ht="15.75" customHeight="1" x14ac:dyDescent="0.3">
      <c r="F539" s="14"/>
      <c r="G539" s="14"/>
      <c r="H539" s="14"/>
      <c r="I539" s="14"/>
    </row>
    <row r="540" spans="6:9" ht="15.75" customHeight="1" x14ac:dyDescent="0.3">
      <c r="F540" s="14"/>
      <c r="G540" s="14"/>
      <c r="H540" s="14"/>
      <c r="I540" s="14"/>
    </row>
    <row r="541" spans="6:9" ht="15.75" customHeight="1" x14ac:dyDescent="0.3">
      <c r="F541" s="14"/>
      <c r="G541" s="14"/>
      <c r="H541" s="14"/>
      <c r="I541" s="14"/>
    </row>
    <row r="542" spans="6:9" ht="15.75" customHeight="1" x14ac:dyDescent="0.3">
      <c r="F542" s="14"/>
      <c r="G542" s="14"/>
      <c r="H542" s="14"/>
      <c r="I542" s="14"/>
    </row>
    <row r="543" spans="6:9" ht="15.75" customHeight="1" x14ac:dyDescent="0.3">
      <c r="F543" s="14"/>
      <c r="G543" s="14"/>
      <c r="H543" s="14"/>
      <c r="I543" s="14"/>
    </row>
    <row r="544" spans="6:9" ht="15.75" customHeight="1" x14ac:dyDescent="0.3">
      <c r="F544" s="14"/>
      <c r="G544" s="14"/>
      <c r="H544" s="14"/>
      <c r="I544" s="14"/>
    </row>
    <row r="545" spans="6:9" ht="15.75" customHeight="1" x14ac:dyDescent="0.3">
      <c r="F545" s="14"/>
      <c r="G545" s="14"/>
      <c r="H545" s="14"/>
      <c r="I545" s="14"/>
    </row>
    <row r="546" spans="6:9" ht="15.75" customHeight="1" x14ac:dyDescent="0.3">
      <c r="F546" s="14"/>
      <c r="G546" s="14"/>
      <c r="H546" s="14"/>
      <c r="I546" s="14"/>
    </row>
    <row r="547" spans="6:9" ht="15.75" customHeight="1" x14ac:dyDescent="0.3">
      <c r="F547" s="14"/>
      <c r="G547" s="14"/>
      <c r="H547" s="14"/>
      <c r="I547" s="14"/>
    </row>
    <row r="548" spans="6:9" ht="15.75" customHeight="1" x14ac:dyDescent="0.3">
      <c r="F548" s="14"/>
      <c r="G548" s="14"/>
      <c r="H548" s="14"/>
      <c r="I548" s="14"/>
    </row>
    <row r="549" spans="6:9" ht="15.75" customHeight="1" x14ac:dyDescent="0.3">
      <c r="F549" s="14"/>
      <c r="G549" s="14"/>
      <c r="H549" s="14"/>
      <c r="I549" s="14"/>
    </row>
    <row r="550" spans="6:9" ht="15.75" customHeight="1" x14ac:dyDescent="0.3">
      <c r="F550" s="14"/>
      <c r="G550" s="14"/>
      <c r="H550" s="14"/>
      <c r="I550" s="14"/>
    </row>
    <row r="551" spans="6:9" ht="15.75" customHeight="1" x14ac:dyDescent="0.3">
      <c r="F551" s="14"/>
      <c r="G551" s="14"/>
      <c r="H551" s="14"/>
      <c r="I551" s="14"/>
    </row>
    <row r="552" spans="6:9" ht="15.75" customHeight="1" x14ac:dyDescent="0.3">
      <c r="F552" s="14"/>
      <c r="G552" s="14"/>
      <c r="H552" s="14"/>
      <c r="I552" s="14"/>
    </row>
    <row r="553" spans="6:9" ht="15.75" customHeight="1" x14ac:dyDescent="0.3">
      <c r="F553" s="14"/>
      <c r="G553" s="14"/>
      <c r="H553" s="14"/>
      <c r="I553" s="14"/>
    </row>
    <row r="554" spans="6:9" ht="15.75" customHeight="1" x14ac:dyDescent="0.3">
      <c r="F554" s="14"/>
      <c r="G554" s="14"/>
      <c r="H554" s="14"/>
      <c r="I554" s="14"/>
    </row>
    <row r="555" spans="6:9" ht="15.75" customHeight="1" x14ac:dyDescent="0.3">
      <c r="F555" s="14"/>
      <c r="G555" s="14"/>
      <c r="H555" s="14"/>
      <c r="I555" s="14"/>
    </row>
    <row r="556" spans="6:9" ht="15.75" customHeight="1" x14ac:dyDescent="0.3">
      <c r="F556" s="14"/>
      <c r="G556" s="14"/>
      <c r="H556" s="14"/>
      <c r="I556" s="14"/>
    </row>
    <row r="557" spans="6:9" ht="15.75" customHeight="1" x14ac:dyDescent="0.3">
      <c r="F557" s="14"/>
      <c r="G557" s="14"/>
      <c r="H557" s="14"/>
      <c r="I557" s="14"/>
    </row>
    <row r="558" spans="6:9" ht="15.75" customHeight="1" x14ac:dyDescent="0.3">
      <c r="F558" s="14"/>
      <c r="G558" s="14"/>
      <c r="H558" s="14"/>
      <c r="I558" s="14"/>
    </row>
    <row r="559" spans="6:9" ht="15.75" customHeight="1" x14ac:dyDescent="0.3">
      <c r="F559" s="14"/>
      <c r="G559" s="14"/>
      <c r="H559" s="14"/>
      <c r="I559" s="14"/>
    </row>
    <row r="560" spans="6:9" ht="15.75" customHeight="1" x14ac:dyDescent="0.3">
      <c r="F560" s="14"/>
      <c r="G560" s="14"/>
      <c r="H560" s="14"/>
      <c r="I560" s="14"/>
    </row>
    <row r="561" spans="6:9" ht="15.75" customHeight="1" x14ac:dyDescent="0.3">
      <c r="F561" s="14"/>
      <c r="G561" s="14"/>
      <c r="H561" s="14"/>
      <c r="I561" s="14"/>
    </row>
    <row r="562" spans="6:9" ht="15.75" customHeight="1" x14ac:dyDescent="0.3">
      <c r="F562" s="14"/>
      <c r="G562" s="14"/>
      <c r="H562" s="14"/>
      <c r="I562" s="14"/>
    </row>
    <row r="563" spans="6:9" ht="15.75" customHeight="1" x14ac:dyDescent="0.3">
      <c r="F563" s="14"/>
      <c r="G563" s="14"/>
      <c r="H563" s="14"/>
      <c r="I563" s="14"/>
    </row>
    <row r="564" spans="6:9" ht="15.75" customHeight="1" x14ac:dyDescent="0.3">
      <c r="F564" s="14"/>
      <c r="G564" s="14"/>
      <c r="H564" s="14"/>
      <c r="I564" s="14"/>
    </row>
    <row r="565" spans="6:9" ht="15.75" customHeight="1" x14ac:dyDescent="0.3">
      <c r="F565" s="14"/>
      <c r="G565" s="14"/>
      <c r="H565" s="14"/>
      <c r="I565" s="14"/>
    </row>
    <row r="566" spans="6:9" ht="15.75" customHeight="1" x14ac:dyDescent="0.3">
      <c r="F566" s="14"/>
      <c r="G566" s="14"/>
      <c r="H566" s="14"/>
      <c r="I566" s="14"/>
    </row>
    <row r="567" spans="6:9" ht="15.75" customHeight="1" x14ac:dyDescent="0.3">
      <c r="F567" s="14"/>
      <c r="G567" s="14"/>
      <c r="H567" s="14"/>
      <c r="I567" s="14"/>
    </row>
    <row r="568" spans="6:9" ht="15.75" customHeight="1" x14ac:dyDescent="0.3">
      <c r="F568" s="14"/>
      <c r="G568" s="14"/>
      <c r="H568" s="14"/>
      <c r="I568" s="14"/>
    </row>
    <row r="569" spans="6:9" ht="15.75" customHeight="1" x14ac:dyDescent="0.3">
      <c r="F569" s="14"/>
      <c r="G569" s="14"/>
      <c r="H569" s="14"/>
      <c r="I569" s="14"/>
    </row>
    <row r="570" spans="6:9" ht="15.75" customHeight="1" x14ac:dyDescent="0.3">
      <c r="F570" s="14"/>
      <c r="G570" s="14"/>
      <c r="H570" s="14"/>
      <c r="I570" s="14"/>
    </row>
    <row r="571" spans="6:9" ht="15.75" customHeight="1" x14ac:dyDescent="0.3">
      <c r="F571" s="14"/>
      <c r="G571" s="14"/>
      <c r="H571" s="14"/>
      <c r="I571" s="14"/>
    </row>
    <row r="572" spans="6:9" ht="15.75" customHeight="1" x14ac:dyDescent="0.3">
      <c r="F572" s="14"/>
      <c r="G572" s="14"/>
      <c r="H572" s="14"/>
      <c r="I572" s="14"/>
    </row>
    <row r="573" spans="6:9" ht="15.75" customHeight="1" x14ac:dyDescent="0.3">
      <c r="F573" s="14"/>
      <c r="G573" s="14"/>
      <c r="H573" s="14"/>
      <c r="I573" s="14"/>
    </row>
    <row r="574" spans="6:9" ht="15.75" customHeight="1" x14ac:dyDescent="0.3">
      <c r="F574" s="14"/>
      <c r="G574" s="14"/>
      <c r="H574" s="14"/>
      <c r="I574" s="14"/>
    </row>
    <row r="575" spans="6:9" ht="15.75" customHeight="1" x14ac:dyDescent="0.3">
      <c r="F575" s="14"/>
      <c r="G575" s="14"/>
      <c r="H575" s="14"/>
      <c r="I575" s="14"/>
    </row>
    <row r="576" spans="6:9" ht="15.75" customHeight="1" x14ac:dyDescent="0.3">
      <c r="F576" s="14"/>
      <c r="G576" s="14"/>
      <c r="H576" s="14"/>
      <c r="I576" s="14"/>
    </row>
    <row r="577" spans="6:9" ht="15.75" customHeight="1" x14ac:dyDescent="0.3">
      <c r="F577" s="14"/>
      <c r="G577" s="14"/>
      <c r="H577" s="14"/>
      <c r="I577" s="14"/>
    </row>
    <row r="578" spans="6:9" ht="15.75" customHeight="1" x14ac:dyDescent="0.3">
      <c r="F578" s="14"/>
      <c r="G578" s="14"/>
      <c r="H578" s="14"/>
      <c r="I578" s="14"/>
    </row>
    <row r="579" spans="6:9" ht="15.75" customHeight="1" x14ac:dyDescent="0.3">
      <c r="F579" s="14"/>
      <c r="G579" s="14"/>
      <c r="H579" s="14"/>
      <c r="I579" s="14"/>
    </row>
    <row r="580" spans="6:9" ht="15.75" customHeight="1" x14ac:dyDescent="0.3">
      <c r="F580" s="14"/>
      <c r="G580" s="14"/>
      <c r="H580" s="14"/>
      <c r="I580" s="14"/>
    </row>
    <row r="581" spans="6:9" ht="15.75" customHeight="1" x14ac:dyDescent="0.3">
      <c r="F581" s="14"/>
      <c r="G581" s="14"/>
      <c r="H581" s="14"/>
      <c r="I581" s="14"/>
    </row>
    <row r="582" spans="6:9" ht="15.75" customHeight="1" x14ac:dyDescent="0.3">
      <c r="F582" s="14"/>
      <c r="G582" s="14"/>
      <c r="H582" s="14"/>
      <c r="I582" s="14"/>
    </row>
    <row r="583" spans="6:9" ht="15.75" customHeight="1" x14ac:dyDescent="0.3">
      <c r="F583" s="14"/>
      <c r="G583" s="14"/>
      <c r="H583" s="14"/>
      <c r="I583" s="14"/>
    </row>
    <row r="584" spans="6:9" ht="15.75" customHeight="1" x14ac:dyDescent="0.3">
      <c r="F584" s="14"/>
      <c r="G584" s="14"/>
      <c r="H584" s="14"/>
      <c r="I584" s="14"/>
    </row>
    <row r="585" spans="6:9" ht="15.75" customHeight="1" x14ac:dyDescent="0.3">
      <c r="F585" s="14"/>
      <c r="G585" s="14"/>
      <c r="H585" s="14"/>
      <c r="I585" s="14"/>
    </row>
    <row r="586" spans="6:9" ht="15.75" customHeight="1" x14ac:dyDescent="0.3">
      <c r="F586" s="14"/>
      <c r="G586" s="14"/>
      <c r="H586" s="14"/>
      <c r="I586" s="14"/>
    </row>
    <row r="587" spans="6:9" ht="15.75" customHeight="1" x14ac:dyDescent="0.3">
      <c r="F587" s="14"/>
      <c r="G587" s="14"/>
      <c r="H587" s="14"/>
      <c r="I587" s="14"/>
    </row>
    <row r="588" spans="6:9" ht="15.75" customHeight="1" x14ac:dyDescent="0.3">
      <c r="F588" s="14"/>
      <c r="G588" s="14"/>
      <c r="H588" s="14"/>
      <c r="I588" s="14"/>
    </row>
    <row r="589" spans="6:9" ht="15.75" customHeight="1" x14ac:dyDescent="0.3">
      <c r="F589" s="14"/>
      <c r="G589" s="14"/>
      <c r="H589" s="14"/>
      <c r="I589" s="14"/>
    </row>
    <row r="590" spans="6:9" ht="15.75" customHeight="1" x14ac:dyDescent="0.3">
      <c r="F590" s="14"/>
      <c r="G590" s="14"/>
      <c r="H590" s="14"/>
      <c r="I590" s="14"/>
    </row>
    <row r="591" spans="6:9" ht="15.75" customHeight="1" x14ac:dyDescent="0.3">
      <c r="F591" s="14"/>
      <c r="G591" s="14"/>
      <c r="H591" s="14"/>
      <c r="I591" s="14"/>
    </row>
    <row r="592" spans="6:9" ht="15.75" customHeight="1" x14ac:dyDescent="0.3">
      <c r="F592" s="14"/>
      <c r="G592" s="14"/>
      <c r="H592" s="14"/>
      <c r="I592" s="14"/>
    </row>
    <row r="593" spans="6:9" ht="15.75" customHeight="1" x14ac:dyDescent="0.3">
      <c r="F593" s="14"/>
      <c r="G593" s="14"/>
      <c r="H593" s="14"/>
      <c r="I593" s="14"/>
    </row>
    <row r="594" spans="6:9" ht="15.75" customHeight="1" x14ac:dyDescent="0.3">
      <c r="F594" s="14"/>
      <c r="G594" s="14"/>
      <c r="H594" s="14"/>
      <c r="I594" s="14"/>
    </row>
    <row r="595" spans="6:9" ht="15.75" customHeight="1" x14ac:dyDescent="0.3">
      <c r="F595" s="14"/>
      <c r="G595" s="14"/>
      <c r="H595" s="14"/>
      <c r="I595" s="14"/>
    </row>
    <row r="596" spans="6:9" ht="15.75" customHeight="1" x14ac:dyDescent="0.3">
      <c r="F596" s="14"/>
      <c r="G596" s="14"/>
      <c r="H596" s="14"/>
      <c r="I596" s="14"/>
    </row>
    <row r="597" spans="6:9" ht="15.75" customHeight="1" x14ac:dyDescent="0.3">
      <c r="F597" s="14"/>
      <c r="G597" s="14"/>
      <c r="H597" s="14"/>
      <c r="I597" s="14"/>
    </row>
    <row r="598" spans="6:9" ht="15.75" customHeight="1" x14ac:dyDescent="0.3">
      <c r="F598" s="14"/>
      <c r="G598" s="14"/>
      <c r="H598" s="14"/>
      <c r="I598" s="14"/>
    </row>
    <row r="599" spans="6:9" ht="15.75" customHeight="1" x14ac:dyDescent="0.3">
      <c r="F599" s="14"/>
      <c r="G599" s="14"/>
      <c r="H599" s="14"/>
      <c r="I599" s="14"/>
    </row>
    <row r="600" spans="6:9" ht="15.75" customHeight="1" x14ac:dyDescent="0.3">
      <c r="F600" s="14"/>
      <c r="G600" s="14"/>
      <c r="H600" s="14"/>
      <c r="I600" s="14"/>
    </row>
    <row r="601" spans="6:9" ht="15.75" customHeight="1" x14ac:dyDescent="0.3">
      <c r="F601" s="14"/>
      <c r="G601" s="14"/>
      <c r="H601" s="14"/>
      <c r="I601" s="14"/>
    </row>
    <row r="602" spans="6:9" ht="15.75" customHeight="1" x14ac:dyDescent="0.3">
      <c r="F602" s="14"/>
      <c r="G602" s="14"/>
      <c r="H602" s="14"/>
      <c r="I602" s="14"/>
    </row>
    <row r="603" spans="6:9" ht="15.75" customHeight="1" x14ac:dyDescent="0.3">
      <c r="F603" s="14"/>
      <c r="G603" s="14"/>
      <c r="H603" s="14"/>
      <c r="I603" s="14"/>
    </row>
    <row r="604" spans="6:9" ht="15.75" customHeight="1" x14ac:dyDescent="0.3">
      <c r="F604" s="14"/>
      <c r="G604" s="14"/>
      <c r="H604" s="14"/>
      <c r="I604" s="14"/>
    </row>
    <row r="605" spans="6:9" ht="15.75" customHeight="1" x14ac:dyDescent="0.3">
      <c r="F605" s="14"/>
      <c r="G605" s="14"/>
      <c r="H605" s="14"/>
      <c r="I605" s="14"/>
    </row>
    <row r="606" spans="6:9" ht="15.75" customHeight="1" x14ac:dyDescent="0.3">
      <c r="F606" s="14"/>
      <c r="G606" s="14"/>
      <c r="H606" s="14"/>
      <c r="I606" s="14"/>
    </row>
    <row r="607" spans="6:9" ht="15.75" customHeight="1" x14ac:dyDescent="0.3">
      <c r="F607" s="14"/>
      <c r="G607" s="14"/>
      <c r="H607" s="14"/>
      <c r="I607" s="14"/>
    </row>
    <row r="608" spans="6:9" ht="15.75" customHeight="1" x14ac:dyDescent="0.3">
      <c r="F608" s="14"/>
      <c r="G608" s="14"/>
      <c r="H608" s="14"/>
      <c r="I608" s="14"/>
    </row>
    <row r="609" spans="6:9" ht="15.75" customHeight="1" x14ac:dyDescent="0.3">
      <c r="F609" s="14"/>
      <c r="G609" s="14"/>
      <c r="H609" s="14"/>
      <c r="I609" s="14"/>
    </row>
    <row r="610" spans="6:9" ht="15.75" customHeight="1" x14ac:dyDescent="0.3">
      <c r="F610" s="14"/>
      <c r="G610" s="14"/>
      <c r="H610" s="14"/>
      <c r="I610" s="14"/>
    </row>
    <row r="611" spans="6:9" ht="15.75" customHeight="1" x14ac:dyDescent="0.3">
      <c r="F611" s="14"/>
      <c r="G611" s="14"/>
      <c r="H611" s="14"/>
      <c r="I611" s="14"/>
    </row>
    <row r="612" spans="6:9" ht="15.75" customHeight="1" x14ac:dyDescent="0.3">
      <c r="F612" s="14"/>
      <c r="G612" s="14"/>
      <c r="H612" s="14"/>
      <c r="I612" s="14"/>
    </row>
    <row r="613" spans="6:9" ht="15.75" customHeight="1" x14ac:dyDescent="0.3">
      <c r="F613" s="14"/>
      <c r="G613" s="14"/>
      <c r="H613" s="14"/>
      <c r="I613" s="14"/>
    </row>
    <row r="614" spans="6:9" ht="15.75" customHeight="1" x14ac:dyDescent="0.3">
      <c r="F614" s="14"/>
      <c r="G614" s="14"/>
      <c r="H614" s="14"/>
      <c r="I614" s="14"/>
    </row>
    <row r="615" spans="6:9" ht="15.75" customHeight="1" x14ac:dyDescent="0.3">
      <c r="F615" s="14"/>
      <c r="G615" s="14"/>
      <c r="H615" s="14"/>
      <c r="I615" s="14"/>
    </row>
    <row r="616" spans="6:9" ht="15.75" customHeight="1" x14ac:dyDescent="0.3">
      <c r="F616" s="14"/>
      <c r="G616" s="14"/>
      <c r="H616" s="14"/>
      <c r="I616" s="14"/>
    </row>
    <row r="617" spans="6:9" ht="15.75" customHeight="1" x14ac:dyDescent="0.3">
      <c r="F617" s="14"/>
      <c r="G617" s="14"/>
      <c r="H617" s="14"/>
      <c r="I617" s="14"/>
    </row>
    <row r="618" spans="6:9" ht="15.75" customHeight="1" x14ac:dyDescent="0.3">
      <c r="F618" s="14"/>
      <c r="G618" s="14"/>
      <c r="H618" s="14"/>
      <c r="I618" s="14"/>
    </row>
    <row r="619" spans="6:9" ht="15.75" customHeight="1" x14ac:dyDescent="0.3">
      <c r="F619" s="14"/>
      <c r="G619" s="14"/>
      <c r="H619" s="14"/>
      <c r="I619" s="14"/>
    </row>
    <row r="620" spans="6:9" ht="15.75" customHeight="1" x14ac:dyDescent="0.3">
      <c r="F620" s="14"/>
      <c r="G620" s="14"/>
      <c r="H620" s="14"/>
      <c r="I620" s="14"/>
    </row>
    <row r="621" spans="6:9" ht="15.75" customHeight="1" x14ac:dyDescent="0.3">
      <c r="F621" s="14"/>
      <c r="G621" s="14"/>
      <c r="H621" s="14"/>
      <c r="I621" s="14"/>
    </row>
    <row r="622" spans="6:9" ht="15.75" customHeight="1" x14ac:dyDescent="0.3">
      <c r="F622" s="14"/>
      <c r="G622" s="14"/>
      <c r="H622" s="14"/>
      <c r="I622" s="14"/>
    </row>
    <row r="623" spans="6:9" ht="15.75" customHeight="1" x14ac:dyDescent="0.3">
      <c r="F623" s="14"/>
      <c r="G623" s="14"/>
      <c r="H623" s="14"/>
      <c r="I623" s="14"/>
    </row>
    <row r="624" spans="6:9" ht="15.75" customHeight="1" x14ac:dyDescent="0.3">
      <c r="F624" s="14"/>
      <c r="G624" s="14"/>
      <c r="H624" s="14"/>
      <c r="I624" s="14"/>
    </row>
    <row r="625" spans="6:9" ht="15.75" customHeight="1" x14ac:dyDescent="0.3">
      <c r="F625" s="14"/>
      <c r="G625" s="14"/>
      <c r="H625" s="14"/>
      <c r="I625" s="14"/>
    </row>
    <row r="626" spans="6:9" ht="15.75" customHeight="1" x14ac:dyDescent="0.3">
      <c r="F626" s="14"/>
      <c r="G626" s="14"/>
      <c r="H626" s="14"/>
      <c r="I626" s="14"/>
    </row>
    <row r="627" spans="6:9" ht="15.75" customHeight="1" x14ac:dyDescent="0.3">
      <c r="F627" s="14"/>
      <c r="G627" s="14"/>
      <c r="H627" s="14"/>
      <c r="I627" s="14"/>
    </row>
    <row r="628" spans="6:9" ht="15.75" customHeight="1" x14ac:dyDescent="0.3">
      <c r="F628" s="14"/>
      <c r="G628" s="14"/>
      <c r="H628" s="14"/>
      <c r="I628" s="14"/>
    </row>
    <row r="629" spans="6:9" ht="15.75" customHeight="1" x14ac:dyDescent="0.3">
      <c r="F629" s="14"/>
      <c r="G629" s="14"/>
      <c r="H629" s="14"/>
      <c r="I629" s="14"/>
    </row>
    <row r="630" spans="6:9" ht="15.75" customHeight="1" x14ac:dyDescent="0.3">
      <c r="F630" s="14"/>
      <c r="G630" s="14"/>
      <c r="H630" s="14"/>
      <c r="I630" s="14"/>
    </row>
    <row r="631" spans="6:9" ht="15.75" customHeight="1" x14ac:dyDescent="0.3">
      <c r="F631" s="14"/>
      <c r="G631" s="14"/>
      <c r="H631" s="14"/>
      <c r="I631" s="14"/>
    </row>
    <row r="632" spans="6:9" ht="15.75" customHeight="1" x14ac:dyDescent="0.3">
      <c r="F632" s="14"/>
      <c r="G632" s="14"/>
      <c r="H632" s="14"/>
      <c r="I632" s="14"/>
    </row>
    <row r="633" spans="6:9" ht="15.75" customHeight="1" x14ac:dyDescent="0.3">
      <c r="F633" s="14"/>
      <c r="G633" s="14"/>
      <c r="H633" s="14"/>
      <c r="I633" s="14"/>
    </row>
    <row r="634" spans="6:9" ht="15.75" customHeight="1" x14ac:dyDescent="0.3">
      <c r="F634" s="14"/>
      <c r="G634" s="14"/>
      <c r="H634" s="14"/>
      <c r="I634" s="14"/>
    </row>
    <row r="635" spans="6:9" ht="15.75" customHeight="1" x14ac:dyDescent="0.3">
      <c r="F635" s="14"/>
      <c r="G635" s="14"/>
      <c r="H635" s="14"/>
      <c r="I635" s="14"/>
    </row>
    <row r="636" spans="6:9" ht="15.75" customHeight="1" x14ac:dyDescent="0.3">
      <c r="F636" s="14"/>
      <c r="G636" s="14"/>
      <c r="H636" s="14"/>
      <c r="I636" s="14"/>
    </row>
    <row r="637" spans="6:9" ht="15.75" customHeight="1" x14ac:dyDescent="0.3">
      <c r="F637" s="14"/>
      <c r="G637" s="14"/>
      <c r="H637" s="14"/>
      <c r="I637" s="14"/>
    </row>
    <row r="638" spans="6:9" ht="15.75" customHeight="1" x14ac:dyDescent="0.3">
      <c r="F638" s="14"/>
      <c r="G638" s="14"/>
      <c r="H638" s="14"/>
      <c r="I638" s="14"/>
    </row>
    <row r="639" spans="6:9" ht="15.75" customHeight="1" x14ac:dyDescent="0.3">
      <c r="F639" s="14"/>
      <c r="G639" s="14"/>
      <c r="H639" s="14"/>
      <c r="I639" s="14"/>
    </row>
    <row r="640" spans="6:9" ht="15.75" customHeight="1" x14ac:dyDescent="0.3">
      <c r="F640" s="14"/>
      <c r="G640" s="14"/>
      <c r="H640" s="14"/>
      <c r="I640" s="14"/>
    </row>
    <row r="641" spans="6:9" ht="15.75" customHeight="1" x14ac:dyDescent="0.3">
      <c r="F641" s="14"/>
      <c r="G641" s="14"/>
      <c r="H641" s="14"/>
      <c r="I641" s="14"/>
    </row>
    <row r="642" spans="6:9" ht="15.75" customHeight="1" x14ac:dyDescent="0.3">
      <c r="F642" s="14"/>
      <c r="G642" s="14"/>
      <c r="H642" s="14"/>
      <c r="I642" s="14"/>
    </row>
    <row r="643" spans="6:9" ht="15.75" customHeight="1" x14ac:dyDescent="0.3">
      <c r="F643" s="14"/>
      <c r="G643" s="14"/>
      <c r="H643" s="14"/>
      <c r="I643" s="14"/>
    </row>
    <row r="644" spans="6:9" ht="15.75" customHeight="1" x14ac:dyDescent="0.3">
      <c r="F644" s="14"/>
      <c r="G644" s="14"/>
      <c r="H644" s="14"/>
      <c r="I644" s="14"/>
    </row>
    <row r="645" spans="6:9" ht="15.75" customHeight="1" x14ac:dyDescent="0.3">
      <c r="F645" s="14"/>
      <c r="G645" s="14"/>
      <c r="H645" s="14"/>
      <c r="I645" s="14"/>
    </row>
    <row r="646" spans="6:9" ht="15.75" customHeight="1" x14ac:dyDescent="0.3">
      <c r="F646" s="14"/>
      <c r="G646" s="14"/>
      <c r="H646" s="14"/>
      <c r="I646" s="14"/>
    </row>
    <row r="647" spans="6:9" ht="15.75" customHeight="1" x14ac:dyDescent="0.3">
      <c r="F647" s="14"/>
      <c r="G647" s="14"/>
      <c r="H647" s="14"/>
      <c r="I647" s="14"/>
    </row>
    <row r="648" spans="6:9" ht="15.75" customHeight="1" x14ac:dyDescent="0.3">
      <c r="F648" s="14"/>
      <c r="G648" s="14"/>
      <c r="H648" s="14"/>
      <c r="I648" s="14"/>
    </row>
    <row r="649" spans="6:9" ht="15.75" customHeight="1" x14ac:dyDescent="0.3">
      <c r="F649" s="14"/>
      <c r="G649" s="14"/>
      <c r="H649" s="14"/>
      <c r="I649" s="14"/>
    </row>
    <row r="650" spans="6:9" ht="15.75" customHeight="1" x14ac:dyDescent="0.3">
      <c r="F650" s="14"/>
      <c r="G650" s="14"/>
      <c r="H650" s="14"/>
      <c r="I650" s="14"/>
    </row>
    <row r="651" spans="6:9" ht="15.75" customHeight="1" x14ac:dyDescent="0.3">
      <c r="F651" s="14"/>
      <c r="G651" s="14"/>
      <c r="H651" s="14"/>
      <c r="I651" s="14"/>
    </row>
    <row r="652" spans="6:9" ht="15.75" customHeight="1" x14ac:dyDescent="0.3">
      <c r="F652" s="14"/>
      <c r="G652" s="14"/>
      <c r="H652" s="14"/>
      <c r="I652" s="14"/>
    </row>
    <row r="653" spans="6:9" ht="15.75" customHeight="1" x14ac:dyDescent="0.3">
      <c r="F653" s="14"/>
      <c r="G653" s="14"/>
      <c r="H653" s="14"/>
      <c r="I653" s="14"/>
    </row>
    <row r="654" spans="6:9" ht="15.75" customHeight="1" x14ac:dyDescent="0.3">
      <c r="F654" s="14"/>
      <c r="G654" s="14"/>
      <c r="H654" s="14"/>
      <c r="I654" s="14"/>
    </row>
    <row r="655" spans="6:9" ht="15.75" customHeight="1" x14ac:dyDescent="0.3">
      <c r="F655" s="14"/>
      <c r="G655" s="14"/>
      <c r="H655" s="14"/>
      <c r="I655" s="14"/>
    </row>
    <row r="656" spans="6:9" ht="15.75" customHeight="1" x14ac:dyDescent="0.3">
      <c r="F656" s="14"/>
      <c r="G656" s="14"/>
      <c r="H656" s="14"/>
      <c r="I656" s="14"/>
    </row>
    <row r="657" spans="6:9" ht="15.75" customHeight="1" x14ac:dyDescent="0.3">
      <c r="F657" s="14"/>
      <c r="G657" s="14"/>
      <c r="H657" s="14"/>
      <c r="I657" s="14"/>
    </row>
    <row r="658" spans="6:9" ht="15.75" customHeight="1" x14ac:dyDescent="0.3">
      <c r="F658" s="14"/>
      <c r="G658" s="14"/>
      <c r="H658" s="14"/>
      <c r="I658" s="14"/>
    </row>
    <row r="659" spans="6:9" ht="15.75" customHeight="1" x14ac:dyDescent="0.3">
      <c r="F659" s="14"/>
      <c r="G659" s="14"/>
      <c r="H659" s="14"/>
      <c r="I659" s="14"/>
    </row>
    <row r="660" spans="6:9" ht="15.75" customHeight="1" x14ac:dyDescent="0.3">
      <c r="F660" s="14"/>
      <c r="G660" s="14"/>
      <c r="H660" s="14"/>
      <c r="I660" s="14"/>
    </row>
    <row r="661" spans="6:9" ht="15.75" customHeight="1" x14ac:dyDescent="0.3">
      <c r="F661" s="14"/>
      <c r="G661" s="14"/>
      <c r="H661" s="14"/>
      <c r="I661" s="14"/>
    </row>
    <row r="662" spans="6:9" ht="15.75" customHeight="1" x14ac:dyDescent="0.3">
      <c r="F662" s="14"/>
      <c r="G662" s="14"/>
      <c r="H662" s="14"/>
      <c r="I662" s="14"/>
    </row>
    <row r="663" spans="6:9" ht="15.75" customHeight="1" x14ac:dyDescent="0.3">
      <c r="F663" s="14"/>
      <c r="G663" s="14"/>
      <c r="H663" s="14"/>
      <c r="I663" s="14"/>
    </row>
    <row r="664" spans="6:9" ht="15.75" customHeight="1" x14ac:dyDescent="0.3">
      <c r="F664" s="14"/>
      <c r="G664" s="14"/>
      <c r="H664" s="14"/>
      <c r="I664" s="14"/>
    </row>
    <row r="665" spans="6:9" ht="15.75" customHeight="1" x14ac:dyDescent="0.3">
      <c r="F665" s="14"/>
      <c r="G665" s="14"/>
      <c r="H665" s="14"/>
      <c r="I665" s="14"/>
    </row>
    <row r="666" spans="6:9" ht="15.75" customHeight="1" x14ac:dyDescent="0.3">
      <c r="F666" s="14"/>
      <c r="G666" s="14"/>
      <c r="H666" s="14"/>
      <c r="I666" s="14"/>
    </row>
    <row r="667" spans="6:9" ht="15.75" customHeight="1" x14ac:dyDescent="0.3">
      <c r="F667" s="14"/>
      <c r="G667" s="14"/>
      <c r="H667" s="14"/>
      <c r="I667" s="14"/>
    </row>
    <row r="668" spans="6:9" ht="15.75" customHeight="1" x14ac:dyDescent="0.3">
      <c r="F668" s="14"/>
      <c r="G668" s="14"/>
      <c r="H668" s="14"/>
      <c r="I668" s="14"/>
    </row>
    <row r="669" spans="6:9" ht="15.75" customHeight="1" x14ac:dyDescent="0.3">
      <c r="F669" s="14"/>
      <c r="G669" s="14"/>
      <c r="H669" s="14"/>
      <c r="I669" s="14"/>
    </row>
    <row r="670" spans="6:9" ht="15.75" customHeight="1" x14ac:dyDescent="0.3">
      <c r="F670" s="14"/>
      <c r="G670" s="14"/>
      <c r="H670" s="14"/>
      <c r="I670" s="14"/>
    </row>
    <row r="671" spans="6:9" ht="15.75" customHeight="1" x14ac:dyDescent="0.3">
      <c r="F671" s="14"/>
      <c r="G671" s="14"/>
      <c r="H671" s="14"/>
      <c r="I671" s="14"/>
    </row>
    <row r="672" spans="6:9" ht="15.75" customHeight="1" x14ac:dyDescent="0.3">
      <c r="F672" s="14"/>
      <c r="G672" s="14"/>
      <c r="H672" s="14"/>
      <c r="I672" s="14"/>
    </row>
    <row r="673" spans="6:9" ht="15.75" customHeight="1" x14ac:dyDescent="0.3">
      <c r="F673" s="14"/>
      <c r="G673" s="14"/>
      <c r="H673" s="14"/>
      <c r="I673" s="14"/>
    </row>
    <row r="674" spans="6:9" ht="15.75" customHeight="1" x14ac:dyDescent="0.3">
      <c r="F674" s="14"/>
      <c r="G674" s="14"/>
      <c r="H674" s="14"/>
      <c r="I674" s="14"/>
    </row>
    <row r="675" spans="6:9" ht="15.75" customHeight="1" x14ac:dyDescent="0.3">
      <c r="F675" s="14"/>
      <c r="G675" s="14"/>
      <c r="H675" s="14"/>
      <c r="I675" s="14"/>
    </row>
    <row r="676" spans="6:9" ht="15.75" customHeight="1" x14ac:dyDescent="0.3">
      <c r="F676" s="14"/>
      <c r="G676" s="14"/>
      <c r="H676" s="14"/>
      <c r="I676" s="14"/>
    </row>
    <row r="677" spans="6:9" ht="15.75" customHeight="1" x14ac:dyDescent="0.3">
      <c r="F677" s="14"/>
      <c r="G677" s="14"/>
      <c r="H677" s="14"/>
      <c r="I677" s="14"/>
    </row>
    <row r="678" spans="6:9" ht="15.75" customHeight="1" x14ac:dyDescent="0.3">
      <c r="F678" s="14"/>
      <c r="G678" s="14"/>
      <c r="H678" s="14"/>
      <c r="I678" s="14"/>
    </row>
    <row r="679" spans="6:9" ht="15.75" customHeight="1" x14ac:dyDescent="0.3">
      <c r="F679" s="14"/>
      <c r="G679" s="14"/>
      <c r="H679" s="14"/>
      <c r="I679" s="14"/>
    </row>
    <row r="680" spans="6:9" ht="15.75" customHeight="1" x14ac:dyDescent="0.3">
      <c r="F680" s="14"/>
      <c r="G680" s="14"/>
      <c r="H680" s="14"/>
      <c r="I680" s="14"/>
    </row>
    <row r="681" spans="6:9" ht="15.75" customHeight="1" x14ac:dyDescent="0.3">
      <c r="F681" s="14"/>
      <c r="G681" s="14"/>
      <c r="H681" s="14"/>
      <c r="I681" s="14"/>
    </row>
    <row r="682" spans="6:9" ht="15.75" customHeight="1" x14ac:dyDescent="0.3">
      <c r="F682" s="14"/>
      <c r="G682" s="14"/>
      <c r="H682" s="14"/>
      <c r="I682" s="14"/>
    </row>
    <row r="683" spans="6:9" ht="15.75" customHeight="1" x14ac:dyDescent="0.3">
      <c r="F683" s="14"/>
      <c r="G683" s="14"/>
      <c r="H683" s="14"/>
      <c r="I683" s="14"/>
    </row>
    <row r="684" spans="6:9" ht="15.75" customHeight="1" x14ac:dyDescent="0.3">
      <c r="F684" s="14"/>
      <c r="G684" s="14"/>
      <c r="H684" s="14"/>
      <c r="I684" s="14"/>
    </row>
    <row r="685" spans="6:9" ht="15.75" customHeight="1" x14ac:dyDescent="0.3">
      <c r="F685" s="14"/>
      <c r="G685" s="14"/>
      <c r="H685" s="14"/>
      <c r="I685" s="14"/>
    </row>
    <row r="686" spans="6:9" ht="15.75" customHeight="1" x14ac:dyDescent="0.3">
      <c r="F686" s="14"/>
      <c r="G686" s="14"/>
      <c r="H686" s="14"/>
      <c r="I686" s="14"/>
    </row>
    <row r="687" spans="6:9" ht="15.75" customHeight="1" x14ac:dyDescent="0.3">
      <c r="F687" s="14"/>
      <c r="G687" s="14"/>
      <c r="H687" s="14"/>
      <c r="I687" s="14"/>
    </row>
    <row r="688" spans="6:9" ht="15.75" customHeight="1" x14ac:dyDescent="0.3">
      <c r="F688" s="14"/>
      <c r="G688" s="14"/>
      <c r="H688" s="14"/>
      <c r="I688" s="14"/>
    </row>
    <row r="689" spans="6:9" ht="15.75" customHeight="1" x14ac:dyDescent="0.3">
      <c r="F689" s="14"/>
      <c r="G689" s="14"/>
      <c r="H689" s="14"/>
      <c r="I689" s="14"/>
    </row>
    <row r="690" spans="6:9" ht="15.75" customHeight="1" x14ac:dyDescent="0.3">
      <c r="F690" s="14"/>
      <c r="G690" s="14"/>
      <c r="H690" s="14"/>
      <c r="I690" s="14"/>
    </row>
    <row r="691" spans="6:9" ht="15.75" customHeight="1" x14ac:dyDescent="0.3">
      <c r="F691" s="14"/>
      <c r="G691" s="14"/>
      <c r="H691" s="14"/>
      <c r="I691" s="14"/>
    </row>
    <row r="692" spans="6:9" ht="15.75" customHeight="1" x14ac:dyDescent="0.3">
      <c r="F692" s="14"/>
      <c r="G692" s="14"/>
      <c r="H692" s="14"/>
      <c r="I692" s="14"/>
    </row>
    <row r="693" spans="6:9" ht="15.75" customHeight="1" x14ac:dyDescent="0.3">
      <c r="F693" s="14"/>
      <c r="G693" s="14"/>
      <c r="H693" s="14"/>
      <c r="I693" s="14"/>
    </row>
    <row r="694" spans="6:9" ht="15.75" customHeight="1" x14ac:dyDescent="0.3">
      <c r="F694" s="14"/>
      <c r="G694" s="14"/>
      <c r="H694" s="14"/>
      <c r="I694" s="14"/>
    </row>
    <row r="695" spans="6:9" ht="15.75" customHeight="1" x14ac:dyDescent="0.3">
      <c r="F695" s="14"/>
      <c r="G695" s="14"/>
      <c r="H695" s="14"/>
      <c r="I695" s="14"/>
    </row>
    <row r="696" spans="6:9" ht="15.75" customHeight="1" x14ac:dyDescent="0.3">
      <c r="F696" s="14"/>
      <c r="G696" s="14"/>
      <c r="H696" s="14"/>
      <c r="I696" s="14"/>
    </row>
    <row r="697" spans="6:9" ht="15.75" customHeight="1" x14ac:dyDescent="0.3">
      <c r="F697" s="14"/>
      <c r="G697" s="14"/>
      <c r="H697" s="14"/>
      <c r="I697" s="14"/>
    </row>
    <row r="698" spans="6:9" ht="15.75" customHeight="1" x14ac:dyDescent="0.3">
      <c r="F698" s="14"/>
      <c r="G698" s="14"/>
      <c r="H698" s="14"/>
      <c r="I698" s="14"/>
    </row>
    <row r="699" spans="6:9" ht="15.75" customHeight="1" x14ac:dyDescent="0.3">
      <c r="F699" s="14"/>
      <c r="G699" s="14"/>
      <c r="H699" s="14"/>
      <c r="I699" s="14"/>
    </row>
    <row r="700" spans="6:9" ht="15.75" customHeight="1" x14ac:dyDescent="0.3">
      <c r="F700" s="14"/>
      <c r="G700" s="14"/>
      <c r="H700" s="14"/>
      <c r="I700" s="14"/>
    </row>
    <row r="701" spans="6:9" ht="15.75" customHeight="1" x14ac:dyDescent="0.3">
      <c r="F701" s="14"/>
      <c r="G701" s="14"/>
      <c r="H701" s="14"/>
      <c r="I701" s="14"/>
    </row>
    <row r="702" spans="6:9" ht="15.75" customHeight="1" x14ac:dyDescent="0.3">
      <c r="F702" s="14"/>
      <c r="G702" s="14"/>
      <c r="H702" s="14"/>
      <c r="I702" s="14"/>
    </row>
    <row r="703" spans="6:9" ht="15.75" customHeight="1" x14ac:dyDescent="0.3">
      <c r="F703" s="14"/>
      <c r="G703" s="14"/>
      <c r="H703" s="14"/>
      <c r="I703" s="14"/>
    </row>
    <row r="704" spans="6:9" ht="15.75" customHeight="1" x14ac:dyDescent="0.3">
      <c r="F704" s="14"/>
      <c r="G704" s="14"/>
      <c r="H704" s="14"/>
      <c r="I704" s="14"/>
    </row>
    <row r="705" spans="6:9" ht="15.75" customHeight="1" x14ac:dyDescent="0.3">
      <c r="F705" s="14"/>
      <c r="G705" s="14"/>
      <c r="H705" s="14"/>
      <c r="I705" s="14"/>
    </row>
    <row r="706" spans="6:9" ht="15.75" customHeight="1" x14ac:dyDescent="0.3">
      <c r="F706" s="14"/>
      <c r="G706" s="14"/>
      <c r="H706" s="14"/>
      <c r="I706" s="14"/>
    </row>
    <row r="707" spans="6:9" ht="15.75" customHeight="1" x14ac:dyDescent="0.3">
      <c r="F707" s="14"/>
      <c r="G707" s="14"/>
      <c r="H707" s="14"/>
      <c r="I707" s="14"/>
    </row>
    <row r="708" spans="6:9" ht="15.75" customHeight="1" x14ac:dyDescent="0.3">
      <c r="F708" s="14"/>
      <c r="G708" s="14"/>
      <c r="H708" s="14"/>
      <c r="I708" s="14"/>
    </row>
    <row r="709" spans="6:9" ht="15.75" customHeight="1" x14ac:dyDescent="0.3">
      <c r="F709" s="14"/>
      <c r="G709" s="14"/>
      <c r="H709" s="14"/>
      <c r="I709" s="14"/>
    </row>
    <row r="710" spans="6:9" ht="15.75" customHeight="1" x14ac:dyDescent="0.3">
      <c r="F710" s="14"/>
      <c r="G710" s="14"/>
      <c r="H710" s="14"/>
      <c r="I710" s="14"/>
    </row>
    <row r="711" spans="6:9" ht="15.75" customHeight="1" x14ac:dyDescent="0.3">
      <c r="F711" s="14"/>
      <c r="G711" s="14"/>
      <c r="H711" s="14"/>
      <c r="I711" s="14"/>
    </row>
    <row r="712" spans="6:9" ht="15.75" customHeight="1" x14ac:dyDescent="0.3">
      <c r="F712" s="14"/>
      <c r="G712" s="14"/>
      <c r="H712" s="14"/>
      <c r="I712" s="14"/>
    </row>
    <row r="713" spans="6:9" ht="15.75" customHeight="1" x14ac:dyDescent="0.3">
      <c r="F713" s="14"/>
      <c r="G713" s="14"/>
      <c r="H713" s="14"/>
      <c r="I713" s="14"/>
    </row>
    <row r="714" spans="6:9" ht="15.75" customHeight="1" x14ac:dyDescent="0.3">
      <c r="F714" s="14"/>
      <c r="G714" s="14"/>
      <c r="H714" s="14"/>
      <c r="I714" s="14"/>
    </row>
    <row r="715" spans="6:9" ht="15.75" customHeight="1" x14ac:dyDescent="0.3">
      <c r="F715" s="14"/>
      <c r="G715" s="14"/>
      <c r="H715" s="14"/>
      <c r="I715" s="14"/>
    </row>
    <row r="716" spans="6:9" ht="15.75" customHeight="1" x14ac:dyDescent="0.3">
      <c r="F716" s="14"/>
      <c r="G716" s="14"/>
      <c r="H716" s="14"/>
      <c r="I716" s="14"/>
    </row>
    <row r="717" spans="6:9" ht="15.75" customHeight="1" x14ac:dyDescent="0.3">
      <c r="F717" s="14"/>
      <c r="G717" s="14"/>
      <c r="H717" s="14"/>
      <c r="I717" s="14"/>
    </row>
    <row r="718" spans="6:9" ht="15.75" customHeight="1" x14ac:dyDescent="0.3">
      <c r="F718" s="14"/>
      <c r="G718" s="14"/>
      <c r="H718" s="14"/>
      <c r="I718" s="14"/>
    </row>
    <row r="719" spans="6:9" ht="15.75" customHeight="1" x14ac:dyDescent="0.3">
      <c r="F719" s="14"/>
      <c r="G719" s="14"/>
      <c r="H719" s="14"/>
      <c r="I719" s="14"/>
    </row>
    <row r="720" spans="6:9" ht="15.75" customHeight="1" x14ac:dyDescent="0.3">
      <c r="F720" s="14"/>
      <c r="G720" s="14"/>
      <c r="H720" s="14"/>
      <c r="I720" s="14"/>
    </row>
    <row r="721" spans="6:9" ht="15.75" customHeight="1" x14ac:dyDescent="0.3">
      <c r="F721" s="14"/>
      <c r="G721" s="14"/>
      <c r="H721" s="14"/>
      <c r="I721" s="14"/>
    </row>
    <row r="722" spans="6:9" ht="15.75" customHeight="1" x14ac:dyDescent="0.3">
      <c r="F722" s="14"/>
      <c r="G722" s="14"/>
      <c r="H722" s="14"/>
      <c r="I722" s="14"/>
    </row>
    <row r="723" spans="6:9" ht="15.75" customHeight="1" x14ac:dyDescent="0.3">
      <c r="F723" s="14"/>
      <c r="G723" s="14"/>
      <c r="H723" s="14"/>
      <c r="I723" s="14"/>
    </row>
    <row r="724" spans="6:9" ht="15.75" customHeight="1" x14ac:dyDescent="0.3">
      <c r="F724" s="14"/>
      <c r="G724" s="14"/>
      <c r="H724" s="14"/>
      <c r="I724" s="14"/>
    </row>
    <row r="725" spans="6:9" ht="15.75" customHeight="1" x14ac:dyDescent="0.3">
      <c r="F725" s="14"/>
      <c r="G725" s="14"/>
      <c r="H725" s="14"/>
      <c r="I725" s="14"/>
    </row>
    <row r="726" spans="6:9" ht="15.75" customHeight="1" x14ac:dyDescent="0.3">
      <c r="F726" s="14"/>
      <c r="G726" s="14"/>
      <c r="H726" s="14"/>
      <c r="I726" s="14"/>
    </row>
    <row r="727" spans="6:9" ht="15.75" customHeight="1" x14ac:dyDescent="0.3">
      <c r="F727" s="14"/>
      <c r="G727" s="14"/>
      <c r="H727" s="14"/>
      <c r="I727" s="14"/>
    </row>
    <row r="728" spans="6:9" ht="15.75" customHeight="1" x14ac:dyDescent="0.3">
      <c r="F728" s="14"/>
      <c r="G728" s="14"/>
      <c r="H728" s="14"/>
      <c r="I728" s="14"/>
    </row>
    <row r="729" spans="6:9" ht="15.75" customHeight="1" x14ac:dyDescent="0.3">
      <c r="F729" s="14"/>
      <c r="G729" s="14"/>
      <c r="H729" s="14"/>
      <c r="I729" s="14"/>
    </row>
    <row r="730" spans="6:9" ht="15.75" customHeight="1" x14ac:dyDescent="0.3">
      <c r="F730" s="14"/>
      <c r="G730" s="14"/>
      <c r="H730" s="14"/>
      <c r="I730" s="14"/>
    </row>
    <row r="731" spans="6:9" ht="15.75" customHeight="1" x14ac:dyDescent="0.3">
      <c r="F731" s="14"/>
      <c r="G731" s="14"/>
      <c r="H731" s="14"/>
      <c r="I731" s="14"/>
    </row>
    <row r="732" spans="6:9" ht="15.75" customHeight="1" x14ac:dyDescent="0.3">
      <c r="F732" s="14"/>
      <c r="G732" s="14"/>
      <c r="H732" s="14"/>
      <c r="I732" s="14"/>
    </row>
    <row r="733" spans="6:9" ht="15.75" customHeight="1" x14ac:dyDescent="0.3">
      <c r="F733" s="14"/>
      <c r="G733" s="14"/>
      <c r="H733" s="14"/>
      <c r="I733" s="14"/>
    </row>
    <row r="734" spans="6:9" ht="15.75" customHeight="1" x14ac:dyDescent="0.3">
      <c r="F734" s="14"/>
      <c r="G734" s="14"/>
      <c r="H734" s="14"/>
      <c r="I734" s="14"/>
    </row>
    <row r="735" spans="6:9" ht="15.75" customHeight="1" x14ac:dyDescent="0.3">
      <c r="F735" s="14"/>
      <c r="G735" s="14"/>
      <c r="H735" s="14"/>
      <c r="I735" s="14"/>
    </row>
    <row r="736" spans="6:9" ht="15.75" customHeight="1" x14ac:dyDescent="0.3">
      <c r="F736" s="14"/>
      <c r="G736" s="14"/>
      <c r="H736" s="14"/>
      <c r="I736" s="14"/>
    </row>
    <row r="737" spans="6:9" ht="15.75" customHeight="1" x14ac:dyDescent="0.3">
      <c r="F737" s="14"/>
      <c r="G737" s="14"/>
      <c r="H737" s="14"/>
      <c r="I737" s="14"/>
    </row>
    <row r="738" spans="6:9" ht="15.75" customHeight="1" x14ac:dyDescent="0.3">
      <c r="F738" s="14"/>
      <c r="G738" s="14"/>
      <c r="H738" s="14"/>
      <c r="I738" s="14"/>
    </row>
    <row r="739" spans="6:9" ht="15.75" customHeight="1" x14ac:dyDescent="0.3">
      <c r="F739" s="14"/>
      <c r="G739" s="14"/>
      <c r="H739" s="14"/>
      <c r="I739" s="14"/>
    </row>
    <row r="740" spans="6:9" ht="15.75" customHeight="1" x14ac:dyDescent="0.3">
      <c r="F740" s="14"/>
      <c r="G740" s="14"/>
      <c r="H740" s="14"/>
      <c r="I740" s="14"/>
    </row>
    <row r="741" spans="6:9" ht="15.75" customHeight="1" x14ac:dyDescent="0.3">
      <c r="F741" s="14"/>
      <c r="G741" s="14"/>
      <c r="H741" s="14"/>
      <c r="I741" s="14"/>
    </row>
    <row r="742" spans="6:9" ht="15.75" customHeight="1" x14ac:dyDescent="0.3">
      <c r="F742" s="14"/>
      <c r="G742" s="14"/>
      <c r="H742" s="14"/>
      <c r="I742" s="14"/>
    </row>
    <row r="743" spans="6:9" ht="15.75" customHeight="1" x14ac:dyDescent="0.3">
      <c r="F743" s="14"/>
      <c r="G743" s="14"/>
      <c r="H743" s="14"/>
      <c r="I743" s="14"/>
    </row>
    <row r="744" spans="6:9" ht="15.75" customHeight="1" x14ac:dyDescent="0.3">
      <c r="F744" s="14"/>
      <c r="G744" s="14"/>
      <c r="H744" s="14"/>
      <c r="I744" s="14"/>
    </row>
    <row r="745" spans="6:9" ht="15.75" customHeight="1" x14ac:dyDescent="0.3">
      <c r="F745" s="14"/>
      <c r="G745" s="14"/>
      <c r="H745" s="14"/>
      <c r="I745" s="14"/>
    </row>
    <row r="746" spans="6:9" ht="15.75" customHeight="1" x14ac:dyDescent="0.3">
      <c r="F746" s="14"/>
      <c r="G746" s="14"/>
      <c r="H746" s="14"/>
      <c r="I746" s="14"/>
    </row>
    <row r="747" spans="6:9" ht="15.75" customHeight="1" x14ac:dyDescent="0.3">
      <c r="F747" s="14"/>
      <c r="G747" s="14"/>
      <c r="H747" s="14"/>
      <c r="I747" s="14"/>
    </row>
    <row r="748" spans="6:9" ht="15.75" customHeight="1" x14ac:dyDescent="0.3">
      <c r="F748" s="14"/>
      <c r="G748" s="14"/>
      <c r="H748" s="14"/>
      <c r="I748" s="14"/>
    </row>
    <row r="749" spans="6:9" ht="15.75" customHeight="1" x14ac:dyDescent="0.3">
      <c r="F749" s="14"/>
      <c r="G749" s="14"/>
      <c r="H749" s="14"/>
      <c r="I749" s="14"/>
    </row>
    <row r="750" spans="6:9" ht="15.75" customHeight="1" x14ac:dyDescent="0.3">
      <c r="F750" s="14"/>
      <c r="G750" s="14"/>
      <c r="H750" s="14"/>
      <c r="I750" s="14"/>
    </row>
    <row r="751" spans="6:9" ht="15.75" customHeight="1" x14ac:dyDescent="0.3">
      <c r="F751" s="14"/>
      <c r="G751" s="14"/>
      <c r="H751" s="14"/>
      <c r="I751" s="14"/>
    </row>
    <row r="752" spans="6:9" ht="15.75" customHeight="1" x14ac:dyDescent="0.3">
      <c r="F752" s="14"/>
      <c r="G752" s="14"/>
      <c r="H752" s="14"/>
      <c r="I752" s="14"/>
    </row>
    <row r="753" spans="6:9" ht="15.75" customHeight="1" x14ac:dyDescent="0.3">
      <c r="F753" s="14"/>
      <c r="G753" s="14"/>
      <c r="H753" s="14"/>
      <c r="I753" s="14"/>
    </row>
    <row r="754" spans="6:9" ht="15.75" customHeight="1" x14ac:dyDescent="0.3">
      <c r="F754" s="14"/>
      <c r="G754" s="14"/>
      <c r="H754" s="14"/>
      <c r="I754" s="14"/>
    </row>
    <row r="755" spans="6:9" ht="15.75" customHeight="1" x14ac:dyDescent="0.3">
      <c r="F755" s="14"/>
      <c r="G755" s="14"/>
      <c r="H755" s="14"/>
      <c r="I755" s="14"/>
    </row>
    <row r="756" spans="6:9" ht="15.75" customHeight="1" x14ac:dyDescent="0.3">
      <c r="F756" s="14"/>
      <c r="G756" s="14"/>
      <c r="H756" s="14"/>
      <c r="I756" s="14"/>
    </row>
    <row r="757" spans="6:9" ht="15.75" customHeight="1" x14ac:dyDescent="0.3">
      <c r="F757" s="14"/>
      <c r="G757" s="14"/>
      <c r="H757" s="14"/>
      <c r="I757" s="14"/>
    </row>
    <row r="758" spans="6:9" ht="15.75" customHeight="1" x14ac:dyDescent="0.3">
      <c r="F758" s="14"/>
      <c r="G758" s="14"/>
      <c r="H758" s="14"/>
      <c r="I758" s="14"/>
    </row>
    <row r="759" spans="6:9" ht="15.75" customHeight="1" x14ac:dyDescent="0.3">
      <c r="F759" s="14"/>
      <c r="G759" s="14"/>
      <c r="H759" s="14"/>
      <c r="I759" s="14"/>
    </row>
    <row r="760" spans="6:9" ht="15.75" customHeight="1" x14ac:dyDescent="0.3">
      <c r="F760" s="14"/>
      <c r="G760" s="14"/>
      <c r="H760" s="14"/>
      <c r="I760" s="14"/>
    </row>
    <row r="761" spans="6:9" ht="15.75" customHeight="1" x14ac:dyDescent="0.3">
      <c r="F761" s="14"/>
      <c r="G761" s="14"/>
      <c r="H761" s="14"/>
      <c r="I761" s="14"/>
    </row>
    <row r="762" spans="6:9" ht="15.75" customHeight="1" x14ac:dyDescent="0.3">
      <c r="F762" s="14"/>
      <c r="G762" s="14"/>
      <c r="H762" s="14"/>
      <c r="I762" s="14"/>
    </row>
    <row r="763" spans="6:9" ht="15.75" customHeight="1" x14ac:dyDescent="0.3">
      <c r="F763" s="14"/>
      <c r="G763" s="14"/>
      <c r="H763" s="14"/>
      <c r="I763" s="14"/>
    </row>
    <row r="764" spans="6:9" ht="15.75" customHeight="1" x14ac:dyDescent="0.3">
      <c r="F764" s="14"/>
      <c r="G764" s="14"/>
      <c r="H764" s="14"/>
      <c r="I764" s="14"/>
    </row>
    <row r="765" spans="6:9" ht="15.75" customHeight="1" x14ac:dyDescent="0.3">
      <c r="F765" s="14"/>
      <c r="G765" s="14"/>
      <c r="H765" s="14"/>
      <c r="I765" s="14"/>
    </row>
    <row r="766" spans="6:9" ht="15.75" customHeight="1" x14ac:dyDescent="0.3">
      <c r="F766" s="14"/>
      <c r="G766" s="14"/>
      <c r="H766" s="14"/>
      <c r="I766" s="14"/>
    </row>
    <row r="767" spans="6:9" ht="15.75" customHeight="1" x14ac:dyDescent="0.3">
      <c r="F767" s="14"/>
      <c r="G767" s="14"/>
      <c r="H767" s="14"/>
      <c r="I767" s="14"/>
    </row>
    <row r="768" spans="6:9" ht="15.75" customHeight="1" x14ac:dyDescent="0.3">
      <c r="F768" s="14"/>
      <c r="G768" s="14"/>
      <c r="H768" s="14"/>
      <c r="I768" s="14"/>
    </row>
    <row r="769" spans="6:9" ht="15.75" customHeight="1" x14ac:dyDescent="0.3">
      <c r="F769" s="14"/>
      <c r="G769" s="14"/>
      <c r="H769" s="14"/>
      <c r="I769" s="14"/>
    </row>
    <row r="770" spans="6:9" ht="15.75" customHeight="1" x14ac:dyDescent="0.3">
      <c r="F770" s="14"/>
      <c r="G770" s="14"/>
      <c r="H770" s="14"/>
      <c r="I770" s="14"/>
    </row>
    <row r="771" spans="6:9" ht="15.75" customHeight="1" x14ac:dyDescent="0.3">
      <c r="F771" s="14"/>
      <c r="G771" s="14"/>
      <c r="H771" s="14"/>
      <c r="I771" s="14"/>
    </row>
    <row r="772" spans="6:9" ht="15.75" customHeight="1" x14ac:dyDescent="0.3">
      <c r="F772" s="14"/>
      <c r="G772" s="14"/>
      <c r="H772" s="14"/>
      <c r="I772" s="14"/>
    </row>
    <row r="773" spans="6:9" ht="15.75" customHeight="1" x14ac:dyDescent="0.3">
      <c r="F773" s="14"/>
      <c r="G773" s="14"/>
      <c r="H773" s="14"/>
      <c r="I773" s="14"/>
    </row>
    <row r="774" spans="6:9" ht="15.75" customHeight="1" x14ac:dyDescent="0.3">
      <c r="F774" s="14"/>
      <c r="G774" s="14"/>
      <c r="H774" s="14"/>
      <c r="I774" s="14"/>
    </row>
    <row r="775" spans="6:9" ht="15.75" customHeight="1" x14ac:dyDescent="0.3">
      <c r="F775" s="14"/>
      <c r="G775" s="14"/>
      <c r="H775" s="14"/>
      <c r="I775" s="14"/>
    </row>
    <row r="776" spans="6:9" ht="15.75" customHeight="1" x14ac:dyDescent="0.3">
      <c r="F776" s="14"/>
      <c r="G776" s="14"/>
      <c r="H776" s="14"/>
      <c r="I776" s="14"/>
    </row>
    <row r="777" spans="6:9" ht="15.75" customHeight="1" x14ac:dyDescent="0.3">
      <c r="F777" s="14"/>
      <c r="G777" s="14"/>
      <c r="H777" s="14"/>
      <c r="I777" s="14"/>
    </row>
    <row r="778" spans="6:9" ht="15.75" customHeight="1" x14ac:dyDescent="0.3">
      <c r="F778" s="14"/>
      <c r="G778" s="14"/>
      <c r="H778" s="14"/>
      <c r="I778" s="14"/>
    </row>
    <row r="779" spans="6:9" ht="15.75" customHeight="1" x14ac:dyDescent="0.3">
      <c r="F779" s="14"/>
      <c r="G779" s="14"/>
      <c r="H779" s="14"/>
      <c r="I779" s="14"/>
    </row>
    <row r="780" spans="6:9" ht="15.75" customHeight="1" x14ac:dyDescent="0.3">
      <c r="F780" s="14"/>
      <c r="G780" s="14"/>
      <c r="H780" s="14"/>
      <c r="I780" s="14"/>
    </row>
    <row r="781" spans="6:9" ht="15.75" customHeight="1" x14ac:dyDescent="0.3">
      <c r="F781" s="14"/>
      <c r="G781" s="14"/>
      <c r="H781" s="14"/>
      <c r="I781" s="14"/>
    </row>
    <row r="782" spans="6:9" ht="15.75" customHeight="1" x14ac:dyDescent="0.3">
      <c r="F782" s="14"/>
      <c r="G782" s="14"/>
      <c r="H782" s="14"/>
      <c r="I782" s="14"/>
    </row>
    <row r="783" spans="6:9" ht="15.75" customHeight="1" x14ac:dyDescent="0.3">
      <c r="F783" s="14"/>
      <c r="G783" s="14"/>
      <c r="H783" s="14"/>
      <c r="I783" s="14"/>
    </row>
    <row r="784" spans="6:9" ht="15.75" customHeight="1" x14ac:dyDescent="0.3">
      <c r="F784" s="14"/>
      <c r="G784" s="14"/>
      <c r="H784" s="14"/>
      <c r="I784" s="14"/>
    </row>
    <row r="785" spans="6:9" ht="15.75" customHeight="1" x14ac:dyDescent="0.3">
      <c r="F785" s="14"/>
      <c r="G785" s="14"/>
      <c r="H785" s="14"/>
      <c r="I785" s="14"/>
    </row>
    <row r="786" spans="6:9" ht="15.75" customHeight="1" x14ac:dyDescent="0.3">
      <c r="F786" s="14"/>
      <c r="G786" s="14"/>
      <c r="H786" s="14"/>
      <c r="I786" s="14"/>
    </row>
    <row r="787" spans="6:9" ht="15.75" customHeight="1" x14ac:dyDescent="0.3">
      <c r="F787" s="14"/>
      <c r="G787" s="14"/>
      <c r="H787" s="14"/>
      <c r="I787" s="14"/>
    </row>
    <row r="788" spans="6:9" ht="15.75" customHeight="1" x14ac:dyDescent="0.3">
      <c r="F788" s="14"/>
      <c r="G788" s="14"/>
      <c r="H788" s="14"/>
      <c r="I788" s="14"/>
    </row>
    <row r="789" spans="6:9" ht="15.75" customHeight="1" x14ac:dyDescent="0.3">
      <c r="F789" s="14"/>
      <c r="G789" s="14"/>
      <c r="H789" s="14"/>
      <c r="I789" s="14"/>
    </row>
    <row r="790" spans="6:9" ht="15.75" customHeight="1" x14ac:dyDescent="0.3">
      <c r="F790" s="14"/>
      <c r="G790" s="14"/>
      <c r="H790" s="14"/>
      <c r="I790" s="14"/>
    </row>
    <row r="791" spans="6:9" ht="15.75" customHeight="1" x14ac:dyDescent="0.3">
      <c r="F791" s="14"/>
      <c r="G791" s="14"/>
      <c r="H791" s="14"/>
      <c r="I791" s="14"/>
    </row>
    <row r="792" spans="6:9" ht="15.75" customHeight="1" x14ac:dyDescent="0.3">
      <c r="F792" s="14"/>
      <c r="G792" s="14"/>
      <c r="H792" s="14"/>
      <c r="I792" s="14"/>
    </row>
    <row r="793" spans="6:9" ht="15.75" customHeight="1" x14ac:dyDescent="0.3">
      <c r="F793" s="14"/>
      <c r="G793" s="14"/>
      <c r="H793" s="14"/>
      <c r="I793" s="14"/>
    </row>
    <row r="794" spans="6:9" ht="15.75" customHeight="1" x14ac:dyDescent="0.3">
      <c r="F794" s="14"/>
      <c r="G794" s="14"/>
      <c r="H794" s="14"/>
      <c r="I794" s="14"/>
    </row>
    <row r="795" spans="6:9" ht="15.75" customHeight="1" x14ac:dyDescent="0.3">
      <c r="F795" s="14"/>
      <c r="G795" s="14"/>
      <c r="H795" s="14"/>
      <c r="I795" s="14"/>
    </row>
    <row r="796" spans="6:9" ht="15.75" customHeight="1" x14ac:dyDescent="0.3">
      <c r="F796" s="14"/>
      <c r="G796" s="14"/>
      <c r="H796" s="14"/>
      <c r="I796" s="14"/>
    </row>
    <row r="797" spans="6:9" ht="15.75" customHeight="1" x14ac:dyDescent="0.3">
      <c r="F797" s="14"/>
      <c r="G797" s="14"/>
      <c r="H797" s="14"/>
      <c r="I797" s="14"/>
    </row>
    <row r="798" spans="6:9" ht="15.75" customHeight="1" x14ac:dyDescent="0.3">
      <c r="F798" s="14"/>
      <c r="G798" s="14"/>
      <c r="H798" s="14"/>
      <c r="I798" s="14"/>
    </row>
    <row r="799" spans="6:9" ht="15.75" customHeight="1" x14ac:dyDescent="0.3">
      <c r="F799" s="14"/>
      <c r="G799" s="14"/>
      <c r="H799" s="14"/>
      <c r="I799" s="14"/>
    </row>
    <row r="800" spans="6:9" ht="15.75" customHeight="1" x14ac:dyDescent="0.3">
      <c r="F800" s="14"/>
      <c r="G800" s="14"/>
      <c r="H800" s="14"/>
      <c r="I800" s="14"/>
    </row>
    <row r="801" spans="6:9" ht="15.75" customHeight="1" x14ac:dyDescent="0.3">
      <c r="F801" s="14"/>
      <c r="G801" s="14"/>
      <c r="H801" s="14"/>
      <c r="I801" s="14"/>
    </row>
    <row r="802" spans="6:9" ht="15.75" customHeight="1" x14ac:dyDescent="0.3">
      <c r="F802" s="14"/>
      <c r="G802" s="14"/>
      <c r="H802" s="14"/>
      <c r="I802" s="14"/>
    </row>
    <row r="803" spans="6:9" ht="15.75" customHeight="1" x14ac:dyDescent="0.3">
      <c r="F803" s="14"/>
      <c r="G803" s="14"/>
      <c r="H803" s="14"/>
      <c r="I803" s="14"/>
    </row>
    <row r="804" spans="6:9" ht="15.75" customHeight="1" x14ac:dyDescent="0.3">
      <c r="F804" s="14"/>
      <c r="G804" s="14"/>
      <c r="H804" s="14"/>
      <c r="I804" s="14"/>
    </row>
    <row r="805" spans="6:9" ht="15.75" customHeight="1" x14ac:dyDescent="0.3">
      <c r="F805" s="14"/>
      <c r="G805" s="14"/>
      <c r="H805" s="14"/>
      <c r="I805" s="14"/>
    </row>
    <row r="806" spans="6:9" ht="15.75" customHeight="1" x14ac:dyDescent="0.3">
      <c r="F806" s="14"/>
      <c r="G806" s="14"/>
      <c r="H806" s="14"/>
      <c r="I806" s="14"/>
    </row>
    <row r="807" spans="6:9" ht="15.75" customHeight="1" x14ac:dyDescent="0.3">
      <c r="F807" s="14"/>
      <c r="G807" s="14"/>
      <c r="H807" s="14"/>
      <c r="I807" s="14"/>
    </row>
    <row r="808" spans="6:9" ht="15.75" customHeight="1" x14ac:dyDescent="0.3">
      <c r="F808" s="14"/>
      <c r="G808" s="14"/>
      <c r="H808" s="14"/>
      <c r="I808" s="14"/>
    </row>
    <row r="809" spans="6:9" ht="15.75" customHeight="1" x14ac:dyDescent="0.3">
      <c r="F809" s="14"/>
      <c r="G809" s="14"/>
      <c r="H809" s="14"/>
      <c r="I809" s="14"/>
    </row>
    <row r="810" spans="6:9" ht="15.75" customHeight="1" x14ac:dyDescent="0.3">
      <c r="F810" s="14"/>
      <c r="G810" s="14"/>
      <c r="H810" s="14"/>
      <c r="I810" s="14"/>
    </row>
    <row r="811" spans="6:9" ht="15.75" customHeight="1" x14ac:dyDescent="0.3">
      <c r="F811" s="14"/>
      <c r="G811" s="14"/>
      <c r="H811" s="14"/>
      <c r="I811" s="14"/>
    </row>
    <row r="812" spans="6:9" ht="15.75" customHeight="1" x14ac:dyDescent="0.3">
      <c r="F812" s="14"/>
      <c r="G812" s="14"/>
      <c r="H812" s="14"/>
      <c r="I812" s="14"/>
    </row>
    <row r="813" spans="6:9" ht="15.75" customHeight="1" x14ac:dyDescent="0.3">
      <c r="F813" s="14"/>
      <c r="G813" s="14"/>
      <c r="H813" s="14"/>
      <c r="I813" s="14"/>
    </row>
    <row r="814" spans="6:9" ht="15.75" customHeight="1" x14ac:dyDescent="0.3">
      <c r="F814" s="14"/>
      <c r="G814" s="14"/>
      <c r="H814" s="14"/>
      <c r="I814" s="14"/>
    </row>
    <row r="815" spans="6:9" ht="15.75" customHeight="1" x14ac:dyDescent="0.3">
      <c r="F815" s="14"/>
      <c r="G815" s="14"/>
      <c r="H815" s="14"/>
      <c r="I815" s="14"/>
    </row>
    <row r="816" spans="6:9" ht="15.75" customHeight="1" x14ac:dyDescent="0.3">
      <c r="F816" s="14"/>
      <c r="G816" s="14"/>
      <c r="H816" s="14"/>
      <c r="I816" s="14"/>
    </row>
    <row r="817" spans="6:9" ht="15.75" customHeight="1" x14ac:dyDescent="0.3">
      <c r="F817" s="14"/>
      <c r="G817" s="14"/>
      <c r="H817" s="14"/>
      <c r="I817" s="14"/>
    </row>
    <row r="818" spans="6:9" ht="15.75" customHeight="1" x14ac:dyDescent="0.3">
      <c r="F818" s="14"/>
      <c r="G818" s="14"/>
      <c r="H818" s="14"/>
      <c r="I818" s="14"/>
    </row>
    <row r="819" spans="6:9" ht="15.75" customHeight="1" x14ac:dyDescent="0.3">
      <c r="F819" s="14"/>
      <c r="G819" s="14"/>
      <c r="H819" s="14"/>
      <c r="I819" s="14"/>
    </row>
    <row r="820" spans="6:9" ht="15.75" customHeight="1" x14ac:dyDescent="0.3">
      <c r="F820" s="14"/>
      <c r="G820" s="14"/>
      <c r="H820" s="14"/>
      <c r="I820" s="14"/>
    </row>
    <row r="821" spans="6:9" ht="15.75" customHeight="1" x14ac:dyDescent="0.3">
      <c r="F821" s="14"/>
      <c r="G821" s="14"/>
      <c r="H821" s="14"/>
      <c r="I821" s="14"/>
    </row>
    <row r="822" spans="6:9" ht="15.75" customHeight="1" x14ac:dyDescent="0.3">
      <c r="F822" s="14"/>
      <c r="G822" s="14"/>
      <c r="H822" s="14"/>
      <c r="I822" s="14"/>
    </row>
    <row r="823" spans="6:9" ht="15.75" customHeight="1" x14ac:dyDescent="0.3">
      <c r="F823" s="14"/>
      <c r="G823" s="14"/>
      <c r="H823" s="14"/>
      <c r="I823" s="14"/>
    </row>
    <row r="824" spans="6:9" ht="15.75" customHeight="1" x14ac:dyDescent="0.3">
      <c r="F824" s="14"/>
      <c r="G824" s="14"/>
      <c r="H824" s="14"/>
      <c r="I824" s="14"/>
    </row>
    <row r="825" spans="6:9" ht="15.75" customHeight="1" x14ac:dyDescent="0.3">
      <c r="F825" s="14"/>
      <c r="G825" s="14"/>
      <c r="H825" s="14"/>
      <c r="I825" s="14"/>
    </row>
    <row r="826" spans="6:9" ht="15.75" customHeight="1" x14ac:dyDescent="0.3">
      <c r="F826" s="14"/>
      <c r="G826" s="14"/>
      <c r="H826" s="14"/>
      <c r="I826" s="14"/>
    </row>
    <row r="827" spans="6:9" ht="15.75" customHeight="1" x14ac:dyDescent="0.3">
      <c r="F827" s="14"/>
      <c r="G827" s="14"/>
      <c r="H827" s="14"/>
      <c r="I827" s="14"/>
    </row>
    <row r="828" spans="6:9" ht="15.75" customHeight="1" x14ac:dyDescent="0.3">
      <c r="F828" s="14"/>
      <c r="G828" s="14"/>
      <c r="H828" s="14"/>
      <c r="I828" s="14"/>
    </row>
    <row r="829" spans="6:9" ht="15.75" customHeight="1" x14ac:dyDescent="0.3">
      <c r="F829" s="14"/>
      <c r="G829" s="14"/>
      <c r="H829" s="14"/>
      <c r="I829" s="14"/>
    </row>
    <row r="830" spans="6:9" ht="15.75" customHeight="1" x14ac:dyDescent="0.3">
      <c r="F830" s="14"/>
      <c r="G830" s="14"/>
      <c r="H830" s="14"/>
      <c r="I830" s="14"/>
    </row>
    <row r="831" spans="6:9" ht="15.75" customHeight="1" x14ac:dyDescent="0.3">
      <c r="F831" s="14"/>
      <c r="G831" s="14"/>
      <c r="H831" s="14"/>
      <c r="I831" s="14"/>
    </row>
    <row r="832" spans="6:9" ht="15.75" customHeight="1" x14ac:dyDescent="0.3">
      <c r="F832" s="14"/>
      <c r="G832" s="14"/>
      <c r="H832" s="14"/>
      <c r="I832" s="14"/>
    </row>
    <row r="833" spans="6:9" ht="15.75" customHeight="1" x14ac:dyDescent="0.3">
      <c r="F833" s="14"/>
      <c r="G833" s="14"/>
      <c r="H833" s="14"/>
      <c r="I833" s="14"/>
    </row>
    <row r="834" spans="6:9" ht="15.75" customHeight="1" x14ac:dyDescent="0.3">
      <c r="F834" s="14"/>
      <c r="G834" s="14"/>
      <c r="H834" s="14"/>
      <c r="I834" s="14"/>
    </row>
    <row r="835" spans="6:9" ht="15.75" customHeight="1" x14ac:dyDescent="0.3">
      <c r="F835" s="14"/>
      <c r="G835" s="14"/>
      <c r="H835" s="14"/>
      <c r="I835" s="14"/>
    </row>
    <row r="836" spans="6:9" ht="15.75" customHeight="1" x14ac:dyDescent="0.3">
      <c r="F836" s="14"/>
      <c r="G836" s="14"/>
      <c r="H836" s="14"/>
      <c r="I836" s="14"/>
    </row>
    <row r="837" spans="6:9" ht="15.75" customHeight="1" x14ac:dyDescent="0.3">
      <c r="F837" s="14"/>
      <c r="G837" s="14"/>
      <c r="H837" s="14"/>
      <c r="I837" s="14"/>
    </row>
    <row r="838" spans="6:9" ht="15.75" customHeight="1" x14ac:dyDescent="0.3">
      <c r="F838" s="14"/>
      <c r="G838" s="14"/>
      <c r="H838" s="14"/>
      <c r="I838" s="14"/>
    </row>
    <row r="839" spans="6:9" ht="15.75" customHeight="1" x14ac:dyDescent="0.3">
      <c r="F839" s="14"/>
      <c r="G839" s="14"/>
      <c r="H839" s="14"/>
      <c r="I839" s="14"/>
    </row>
    <row r="840" spans="6:9" ht="15.75" customHeight="1" x14ac:dyDescent="0.3">
      <c r="F840" s="14"/>
      <c r="G840" s="14"/>
      <c r="H840" s="14"/>
      <c r="I840" s="14"/>
    </row>
    <row r="841" spans="6:9" ht="15.75" customHeight="1" x14ac:dyDescent="0.3">
      <c r="F841" s="14"/>
      <c r="G841" s="14"/>
      <c r="H841" s="14"/>
      <c r="I841" s="14"/>
    </row>
    <row r="842" spans="6:9" ht="15.75" customHeight="1" x14ac:dyDescent="0.3">
      <c r="F842" s="14"/>
      <c r="G842" s="14"/>
      <c r="H842" s="14"/>
      <c r="I842" s="14"/>
    </row>
    <row r="843" spans="6:9" ht="15.75" customHeight="1" x14ac:dyDescent="0.3">
      <c r="F843" s="14"/>
      <c r="G843" s="14"/>
      <c r="H843" s="14"/>
      <c r="I843" s="14"/>
    </row>
    <row r="844" spans="6:9" ht="15.75" customHeight="1" x14ac:dyDescent="0.3">
      <c r="F844" s="14"/>
      <c r="G844" s="14"/>
      <c r="H844" s="14"/>
      <c r="I844" s="14"/>
    </row>
    <row r="845" spans="6:9" ht="15.75" customHeight="1" x14ac:dyDescent="0.3">
      <c r="F845" s="14"/>
      <c r="G845" s="14"/>
      <c r="H845" s="14"/>
      <c r="I845" s="14"/>
    </row>
    <row r="846" spans="6:9" ht="15.75" customHeight="1" x14ac:dyDescent="0.3">
      <c r="F846" s="14"/>
      <c r="G846" s="14"/>
      <c r="H846" s="14"/>
      <c r="I846" s="14"/>
    </row>
    <row r="847" spans="6:9" ht="15.75" customHeight="1" x14ac:dyDescent="0.3">
      <c r="F847" s="14"/>
      <c r="G847" s="14"/>
      <c r="H847" s="14"/>
      <c r="I847" s="14"/>
    </row>
    <row r="848" spans="6:9" ht="15.75" customHeight="1" x14ac:dyDescent="0.3">
      <c r="F848" s="14"/>
      <c r="G848" s="14"/>
      <c r="H848" s="14"/>
      <c r="I848" s="14"/>
    </row>
    <row r="849" spans="6:9" ht="15.75" customHeight="1" x14ac:dyDescent="0.3">
      <c r="F849" s="14"/>
      <c r="G849" s="14"/>
      <c r="H849" s="14"/>
      <c r="I849" s="14"/>
    </row>
    <row r="850" spans="6:9" ht="15.75" customHeight="1" x14ac:dyDescent="0.3">
      <c r="F850" s="14"/>
      <c r="G850" s="14"/>
      <c r="H850" s="14"/>
      <c r="I850" s="14"/>
    </row>
    <row r="851" spans="6:9" ht="15.75" customHeight="1" x14ac:dyDescent="0.3">
      <c r="F851" s="14"/>
      <c r="G851" s="14"/>
      <c r="H851" s="14"/>
      <c r="I851" s="14"/>
    </row>
    <row r="852" spans="6:9" ht="15.75" customHeight="1" x14ac:dyDescent="0.3">
      <c r="F852" s="14"/>
      <c r="G852" s="14"/>
      <c r="H852" s="14"/>
      <c r="I852" s="14"/>
    </row>
    <row r="853" spans="6:9" ht="15.75" customHeight="1" x14ac:dyDescent="0.3">
      <c r="F853" s="14"/>
      <c r="G853" s="14"/>
      <c r="H853" s="14"/>
      <c r="I853" s="14"/>
    </row>
    <row r="854" spans="6:9" ht="15.75" customHeight="1" x14ac:dyDescent="0.3">
      <c r="F854" s="14"/>
      <c r="G854" s="14"/>
      <c r="H854" s="14"/>
      <c r="I854" s="14"/>
    </row>
    <row r="855" spans="6:9" ht="15.75" customHeight="1" x14ac:dyDescent="0.3">
      <c r="F855" s="14"/>
      <c r="G855" s="14"/>
      <c r="H855" s="14"/>
      <c r="I855" s="14"/>
    </row>
    <row r="856" spans="6:9" ht="15.75" customHeight="1" x14ac:dyDescent="0.3">
      <c r="F856" s="14"/>
      <c r="G856" s="14"/>
      <c r="H856" s="14"/>
      <c r="I856" s="14"/>
    </row>
    <row r="857" spans="6:9" ht="15.75" customHeight="1" x14ac:dyDescent="0.3">
      <c r="F857" s="14"/>
      <c r="G857" s="14"/>
      <c r="H857" s="14"/>
      <c r="I857" s="14"/>
    </row>
    <row r="858" spans="6:9" ht="15.75" customHeight="1" x14ac:dyDescent="0.3">
      <c r="F858" s="14"/>
      <c r="G858" s="14"/>
      <c r="H858" s="14"/>
      <c r="I858" s="14"/>
    </row>
    <row r="859" spans="6:9" ht="15.75" customHeight="1" x14ac:dyDescent="0.3">
      <c r="F859" s="14"/>
      <c r="G859" s="14"/>
      <c r="H859" s="14"/>
      <c r="I859" s="14"/>
    </row>
    <row r="860" spans="6:9" ht="15.75" customHeight="1" x14ac:dyDescent="0.3">
      <c r="F860" s="14"/>
      <c r="G860" s="14"/>
      <c r="H860" s="14"/>
      <c r="I860" s="14"/>
    </row>
    <row r="861" spans="6:9" ht="15.75" customHeight="1" x14ac:dyDescent="0.3">
      <c r="F861" s="14"/>
      <c r="G861" s="14"/>
      <c r="H861" s="14"/>
      <c r="I861" s="14"/>
    </row>
    <row r="862" spans="6:9" ht="15.75" customHeight="1" x14ac:dyDescent="0.3">
      <c r="F862" s="14"/>
      <c r="G862" s="14"/>
      <c r="H862" s="14"/>
      <c r="I862" s="14"/>
    </row>
    <row r="863" spans="6:9" ht="15.75" customHeight="1" x14ac:dyDescent="0.3">
      <c r="F863" s="14"/>
      <c r="G863" s="14"/>
      <c r="H863" s="14"/>
      <c r="I863" s="14"/>
    </row>
    <row r="864" spans="6:9" ht="15.75" customHeight="1" x14ac:dyDescent="0.3">
      <c r="F864" s="14"/>
      <c r="G864" s="14"/>
      <c r="H864" s="14"/>
      <c r="I864" s="14"/>
    </row>
    <row r="865" spans="6:9" ht="15.75" customHeight="1" x14ac:dyDescent="0.3">
      <c r="F865" s="14"/>
      <c r="G865" s="14"/>
      <c r="H865" s="14"/>
      <c r="I865" s="14"/>
    </row>
    <row r="866" spans="6:9" ht="15.75" customHeight="1" x14ac:dyDescent="0.3">
      <c r="F866" s="14"/>
      <c r="G866" s="14"/>
      <c r="H866" s="14"/>
      <c r="I866" s="14"/>
    </row>
    <row r="867" spans="6:9" ht="15.75" customHeight="1" x14ac:dyDescent="0.3">
      <c r="F867" s="14"/>
      <c r="G867" s="14"/>
      <c r="H867" s="14"/>
      <c r="I867" s="14"/>
    </row>
    <row r="868" spans="6:9" ht="15.75" customHeight="1" x14ac:dyDescent="0.3">
      <c r="F868" s="14"/>
      <c r="G868" s="14"/>
      <c r="H868" s="14"/>
      <c r="I868" s="14"/>
    </row>
    <row r="869" spans="6:9" ht="15.75" customHeight="1" x14ac:dyDescent="0.3">
      <c r="F869" s="14"/>
      <c r="G869" s="14"/>
      <c r="H869" s="14"/>
      <c r="I869" s="14"/>
    </row>
    <row r="870" spans="6:9" ht="15.75" customHeight="1" x14ac:dyDescent="0.3">
      <c r="F870" s="14"/>
      <c r="G870" s="14"/>
      <c r="H870" s="14"/>
      <c r="I870" s="14"/>
    </row>
    <row r="871" spans="6:9" ht="15.75" customHeight="1" x14ac:dyDescent="0.3">
      <c r="F871" s="14"/>
      <c r="G871" s="14"/>
      <c r="H871" s="14"/>
      <c r="I871" s="14"/>
    </row>
    <row r="872" spans="6:9" ht="15.75" customHeight="1" x14ac:dyDescent="0.3">
      <c r="F872" s="14"/>
      <c r="G872" s="14"/>
      <c r="H872" s="14"/>
      <c r="I872" s="14"/>
    </row>
    <row r="873" spans="6:9" ht="15.75" customHeight="1" x14ac:dyDescent="0.3">
      <c r="F873" s="14"/>
      <c r="G873" s="14"/>
      <c r="H873" s="14"/>
      <c r="I873" s="14"/>
    </row>
    <row r="874" spans="6:9" ht="15.75" customHeight="1" x14ac:dyDescent="0.3">
      <c r="F874" s="14"/>
      <c r="G874" s="14"/>
      <c r="H874" s="14"/>
      <c r="I874" s="14"/>
    </row>
    <row r="875" spans="6:9" ht="15.75" customHeight="1" x14ac:dyDescent="0.3">
      <c r="F875" s="14"/>
      <c r="G875" s="14"/>
      <c r="H875" s="14"/>
      <c r="I875" s="14"/>
    </row>
    <row r="876" spans="6:9" ht="15.75" customHeight="1" x14ac:dyDescent="0.3">
      <c r="F876" s="14"/>
      <c r="G876" s="14"/>
      <c r="H876" s="14"/>
      <c r="I876" s="14"/>
    </row>
    <row r="877" spans="6:9" ht="15.75" customHeight="1" x14ac:dyDescent="0.3">
      <c r="F877" s="14"/>
      <c r="G877" s="14"/>
      <c r="H877" s="14"/>
      <c r="I877" s="14"/>
    </row>
    <row r="878" spans="6:9" ht="15.75" customHeight="1" x14ac:dyDescent="0.3">
      <c r="F878" s="14"/>
      <c r="G878" s="14"/>
      <c r="H878" s="14"/>
      <c r="I878" s="14"/>
    </row>
    <row r="879" spans="6:9" ht="15.75" customHeight="1" x14ac:dyDescent="0.3">
      <c r="F879" s="14"/>
      <c r="G879" s="14"/>
      <c r="H879" s="14"/>
      <c r="I879" s="14"/>
    </row>
    <row r="880" spans="6:9" ht="15.75" customHeight="1" x14ac:dyDescent="0.3">
      <c r="F880" s="14"/>
      <c r="G880" s="14"/>
      <c r="H880" s="14"/>
      <c r="I880" s="14"/>
    </row>
    <row r="881" spans="6:9" ht="15.75" customHeight="1" x14ac:dyDescent="0.3">
      <c r="F881" s="14"/>
      <c r="G881" s="14"/>
      <c r="H881" s="14"/>
      <c r="I881" s="14"/>
    </row>
    <row r="882" spans="6:9" ht="15.75" customHeight="1" x14ac:dyDescent="0.3">
      <c r="F882" s="14"/>
      <c r="G882" s="14"/>
      <c r="H882" s="14"/>
      <c r="I882" s="14"/>
    </row>
    <row r="883" spans="6:9" ht="15.75" customHeight="1" x14ac:dyDescent="0.3">
      <c r="F883" s="14"/>
      <c r="G883" s="14"/>
      <c r="H883" s="14"/>
      <c r="I883" s="14"/>
    </row>
    <row r="884" spans="6:9" ht="15.75" customHeight="1" x14ac:dyDescent="0.3">
      <c r="F884" s="14"/>
      <c r="G884" s="14"/>
      <c r="H884" s="14"/>
      <c r="I884" s="14"/>
    </row>
    <row r="885" spans="6:9" ht="15.75" customHeight="1" x14ac:dyDescent="0.3">
      <c r="F885" s="14"/>
      <c r="G885" s="14"/>
      <c r="H885" s="14"/>
      <c r="I885" s="14"/>
    </row>
    <row r="886" spans="6:9" ht="15.75" customHeight="1" x14ac:dyDescent="0.3">
      <c r="F886" s="14"/>
      <c r="G886" s="14"/>
      <c r="H886" s="14"/>
      <c r="I886" s="14"/>
    </row>
    <row r="887" spans="6:9" ht="15.75" customHeight="1" x14ac:dyDescent="0.3">
      <c r="F887" s="14"/>
      <c r="G887" s="14"/>
      <c r="H887" s="14"/>
      <c r="I887" s="14"/>
    </row>
    <row r="888" spans="6:9" ht="15.75" customHeight="1" x14ac:dyDescent="0.3">
      <c r="F888" s="14"/>
      <c r="G888" s="14"/>
      <c r="H888" s="14"/>
      <c r="I888" s="14"/>
    </row>
    <row r="889" spans="6:9" ht="15.75" customHeight="1" x14ac:dyDescent="0.3">
      <c r="F889" s="14"/>
      <c r="G889" s="14"/>
      <c r="H889" s="14"/>
      <c r="I889" s="14"/>
    </row>
    <row r="890" spans="6:9" ht="15.75" customHeight="1" x14ac:dyDescent="0.3">
      <c r="F890" s="14"/>
      <c r="G890" s="14"/>
      <c r="H890" s="14"/>
      <c r="I890" s="14"/>
    </row>
    <row r="891" spans="6:9" ht="15.75" customHeight="1" x14ac:dyDescent="0.3">
      <c r="F891" s="14"/>
      <c r="G891" s="14"/>
      <c r="H891" s="14"/>
      <c r="I891" s="14"/>
    </row>
    <row r="892" spans="6:9" ht="15.75" customHeight="1" x14ac:dyDescent="0.3">
      <c r="F892" s="14"/>
      <c r="G892" s="14"/>
      <c r="H892" s="14"/>
      <c r="I892" s="14"/>
    </row>
    <row r="893" spans="6:9" ht="15.75" customHeight="1" x14ac:dyDescent="0.3">
      <c r="F893" s="14"/>
      <c r="G893" s="14"/>
      <c r="H893" s="14"/>
      <c r="I893" s="14"/>
    </row>
    <row r="894" spans="6:9" ht="15.75" customHeight="1" x14ac:dyDescent="0.3">
      <c r="F894" s="14"/>
      <c r="G894" s="14"/>
      <c r="H894" s="14"/>
      <c r="I894" s="14"/>
    </row>
    <row r="895" spans="6:9" ht="15.75" customHeight="1" x14ac:dyDescent="0.3">
      <c r="F895" s="14"/>
      <c r="G895" s="14"/>
      <c r="H895" s="14"/>
      <c r="I895" s="14"/>
    </row>
    <row r="896" spans="6:9" ht="15.75" customHeight="1" x14ac:dyDescent="0.3">
      <c r="F896" s="14"/>
      <c r="G896" s="14"/>
      <c r="H896" s="14"/>
      <c r="I896" s="14"/>
    </row>
    <row r="897" spans="6:9" ht="15.75" customHeight="1" x14ac:dyDescent="0.3">
      <c r="F897" s="14"/>
      <c r="G897" s="14"/>
      <c r="H897" s="14"/>
      <c r="I897" s="14"/>
    </row>
    <row r="898" spans="6:9" ht="15.75" customHeight="1" x14ac:dyDescent="0.3">
      <c r="F898" s="14"/>
      <c r="G898" s="14"/>
      <c r="H898" s="14"/>
      <c r="I898" s="14"/>
    </row>
    <row r="899" spans="6:9" ht="15.75" customHeight="1" x14ac:dyDescent="0.3">
      <c r="F899" s="14"/>
      <c r="G899" s="14"/>
      <c r="H899" s="14"/>
      <c r="I899" s="14"/>
    </row>
    <row r="900" spans="6:9" ht="15.75" customHeight="1" x14ac:dyDescent="0.3">
      <c r="F900" s="14"/>
      <c r="G900" s="14"/>
      <c r="H900" s="14"/>
      <c r="I900" s="14"/>
    </row>
    <row r="901" spans="6:9" ht="15.75" customHeight="1" x14ac:dyDescent="0.3">
      <c r="F901" s="14"/>
      <c r="G901" s="14"/>
      <c r="H901" s="14"/>
      <c r="I901" s="14"/>
    </row>
    <row r="902" spans="6:9" ht="15.75" customHeight="1" x14ac:dyDescent="0.3">
      <c r="F902" s="14"/>
      <c r="G902" s="14"/>
      <c r="H902" s="14"/>
      <c r="I902" s="14"/>
    </row>
    <row r="903" spans="6:9" ht="15.75" customHeight="1" x14ac:dyDescent="0.3">
      <c r="F903" s="14"/>
      <c r="G903" s="14"/>
      <c r="H903" s="14"/>
      <c r="I903" s="14"/>
    </row>
    <row r="904" spans="6:9" ht="15.75" customHeight="1" x14ac:dyDescent="0.3">
      <c r="F904" s="14"/>
      <c r="G904" s="14"/>
      <c r="H904" s="14"/>
      <c r="I904" s="14"/>
    </row>
    <row r="905" spans="6:9" ht="15.75" customHeight="1" x14ac:dyDescent="0.3">
      <c r="F905" s="14"/>
      <c r="G905" s="14"/>
      <c r="H905" s="14"/>
      <c r="I905" s="14"/>
    </row>
    <row r="906" spans="6:9" ht="15.75" customHeight="1" x14ac:dyDescent="0.3">
      <c r="F906" s="14"/>
      <c r="G906" s="14"/>
      <c r="H906" s="14"/>
      <c r="I906" s="14"/>
    </row>
    <row r="907" spans="6:9" ht="15.75" customHeight="1" x14ac:dyDescent="0.3">
      <c r="F907" s="14"/>
      <c r="G907" s="14"/>
      <c r="H907" s="14"/>
      <c r="I907" s="14"/>
    </row>
    <row r="908" spans="6:9" ht="15.75" customHeight="1" x14ac:dyDescent="0.3">
      <c r="F908" s="14"/>
      <c r="G908" s="14"/>
      <c r="H908" s="14"/>
      <c r="I908" s="14"/>
    </row>
    <row r="909" spans="6:9" ht="15.75" customHeight="1" x14ac:dyDescent="0.3">
      <c r="F909" s="14"/>
      <c r="G909" s="14"/>
      <c r="H909" s="14"/>
      <c r="I909" s="14"/>
    </row>
    <row r="910" spans="6:9" ht="15.75" customHeight="1" x14ac:dyDescent="0.3">
      <c r="F910" s="14"/>
      <c r="G910" s="14"/>
      <c r="H910" s="14"/>
      <c r="I910" s="14"/>
    </row>
    <row r="911" spans="6:9" ht="15.75" customHeight="1" x14ac:dyDescent="0.3">
      <c r="F911" s="14"/>
      <c r="G911" s="14"/>
      <c r="H911" s="14"/>
      <c r="I911" s="14"/>
    </row>
    <row r="912" spans="6:9" ht="15.75" customHeight="1" x14ac:dyDescent="0.3">
      <c r="F912" s="14"/>
      <c r="G912" s="14"/>
      <c r="H912" s="14"/>
      <c r="I912" s="14"/>
    </row>
    <row r="913" spans="6:9" ht="15.75" customHeight="1" x14ac:dyDescent="0.3">
      <c r="F913" s="14"/>
      <c r="G913" s="14"/>
      <c r="H913" s="14"/>
      <c r="I913" s="14"/>
    </row>
    <row r="914" spans="6:9" ht="15.75" customHeight="1" x14ac:dyDescent="0.3">
      <c r="F914" s="14"/>
      <c r="G914" s="14"/>
      <c r="H914" s="14"/>
      <c r="I914" s="14"/>
    </row>
    <row r="915" spans="6:9" ht="15.75" customHeight="1" x14ac:dyDescent="0.3">
      <c r="F915" s="14"/>
      <c r="G915" s="14"/>
      <c r="H915" s="14"/>
      <c r="I915" s="14"/>
    </row>
    <row r="916" spans="6:9" ht="15.75" customHeight="1" x14ac:dyDescent="0.3">
      <c r="F916" s="14"/>
      <c r="G916" s="14"/>
      <c r="H916" s="14"/>
      <c r="I916" s="14"/>
    </row>
    <row r="917" spans="6:9" ht="15.75" customHeight="1" x14ac:dyDescent="0.3">
      <c r="F917" s="14"/>
      <c r="G917" s="14"/>
      <c r="H917" s="14"/>
      <c r="I917" s="14"/>
    </row>
    <row r="918" spans="6:9" ht="15.75" customHeight="1" x14ac:dyDescent="0.3">
      <c r="F918" s="14"/>
      <c r="G918" s="14"/>
      <c r="H918" s="14"/>
      <c r="I918" s="14"/>
    </row>
    <row r="919" spans="6:9" ht="15.75" customHeight="1" x14ac:dyDescent="0.3">
      <c r="F919" s="14"/>
      <c r="G919" s="14"/>
      <c r="H919" s="14"/>
      <c r="I919" s="14"/>
    </row>
    <row r="920" spans="6:9" ht="15.75" customHeight="1" x14ac:dyDescent="0.3">
      <c r="F920" s="14"/>
      <c r="G920" s="14"/>
      <c r="H920" s="14"/>
      <c r="I920" s="14"/>
    </row>
    <row r="921" spans="6:9" ht="15.75" customHeight="1" x14ac:dyDescent="0.3">
      <c r="F921" s="14"/>
      <c r="G921" s="14"/>
      <c r="H921" s="14"/>
      <c r="I921" s="14"/>
    </row>
    <row r="922" spans="6:9" ht="15.75" customHeight="1" x14ac:dyDescent="0.3">
      <c r="F922" s="14"/>
      <c r="G922" s="14"/>
      <c r="H922" s="14"/>
      <c r="I922" s="14"/>
    </row>
    <row r="923" spans="6:9" ht="15.75" customHeight="1" x14ac:dyDescent="0.3">
      <c r="F923" s="14"/>
      <c r="G923" s="14"/>
      <c r="H923" s="14"/>
      <c r="I923" s="14"/>
    </row>
    <row r="924" spans="6:9" ht="15.75" customHeight="1" x14ac:dyDescent="0.3">
      <c r="F924" s="14"/>
      <c r="G924" s="14"/>
      <c r="H924" s="14"/>
      <c r="I924" s="14"/>
    </row>
    <row r="925" spans="6:9" ht="15.75" customHeight="1" x14ac:dyDescent="0.3">
      <c r="F925" s="14"/>
      <c r="G925" s="14"/>
      <c r="H925" s="14"/>
      <c r="I925" s="14"/>
    </row>
    <row r="926" spans="6:9" ht="15.75" customHeight="1" x14ac:dyDescent="0.3">
      <c r="F926" s="14"/>
      <c r="G926" s="14"/>
      <c r="H926" s="14"/>
      <c r="I926" s="14"/>
    </row>
    <row r="927" spans="6:9" ht="15.75" customHeight="1" x14ac:dyDescent="0.3">
      <c r="F927" s="14"/>
      <c r="G927" s="14"/>
      <c r="H927" s="14"/>
      <c r="I927" s="14"/>
    </row>
    <row r="928" spans="6:9" ht="15.75" customHeight="1" x14ac:dyDescent="0.3">
      <c r="F928" s="14"/>
      <c r="G928" s="14"/>
      <c r="H928" s="14"/>
      <c r="I928" s="14"/>
    </row>
    <row r="929" spans="6:9" ht="15.75" customHeight="1" x14ac:dyDescent="0.3">
      <c r="F929" s="14"/>
      <c r="G929" s="14"/>
      <c r="H929" s="14"/>
      <c r="I929" s="14"/>
    </row>
    <row r="930" spans="6:9" ht="15.75" customHeight="1" x14ac:dyDescent="0.3">
      <c r="F930" s="14"/>
      <c r="G930" s="14"/>
      <c r="H930" s="14"/>
      <c r="I930" s="14"/>
    </row>
    <row r="931" spans="6:9" ht="15.75" customHeight="1" x14ac:dyDescent="0.3">
      <c r="F931" s="14"/>
      <c r="G931" s="14"/>
      <c r="H931" s="14"/>
      <c r="I931" s="14"/>
    </row>
    <row r="932" spans="6:9" ht="15.75" customHeight="1" x14ac:dyDescent="0.3">
      <c r="F932" s="14"/>
      <c r="G932" s="14"/>
      <c r="H932" s="14"/>
      <c r="I932" s="14"/>
    </row>
    <row r="933" spans="6:9" ht="15.75" customHeight="1" x14ac:dyDescent="0.3">
      <c r="F933" s="14"/>
      <c r="G933" s="14"/>
      <c r="H933" s="14"/>
      <c r="I933" s="14"/>
    </row>
    <row r="934" spans="6:9" ht="15.75" customHeight="1" x14ac:dyDescent="0.3">
      <c r="F934" s="14"/>
      <c r="G934" s="14"/>
      <c r="H934" s="14"/>
      <c r="I934" s="14"/>
    </row>
    <row r="935" spans="6:9" ht="15.75" customHeight="1" x14ac:dyDescent="0.3">
      <c r="F935" s="14"/>
      <c r="G935" s="14"/>
      <c r="H935" s="14"/>
      <c r="I935" s="14"/>
    </row>
    <row r="936" spans="6:9" ht="15.75" customHeight="1" x14ac:dyDescent="0.3">
      <c r="F936" s="14"/>
      <c r="G936" s="14"/>
      <c r="H936" s="14"/>
      <c r="I936" s="14"/>
    </row>
    <row r="937" spans="6:9" ht="15.75" customHeight="1" x14ac:dyDescent="0.3">
      <c r="F937" s="14"/>
      <c r="G937" s="14"/>
      <c r="H937" s="14"/>
      <c r="I937" s="14"/>
    </row>
    <row r="938" spans="6:9" ht="15.75" customHeight="1" x14ac:dyDescent="0.3">
      <c r="F938" s="14"/>
      <c r="G938" s="14"/>
      <c r="H938" s="14"/>
      <c r="I938" s="14"/>
    </row>
    <row r="939" spans="6:9" ht="15.75" customHeight="1" x14ac:dyDescent="0.3">
      <c r="F939" s="14"/>
      <c r="G939" s="14"/>
      <c r="H939" s="14"/>
      <c r="I939" s="14"/>
    </row>
    <row r="940" spans="6:9" ht="15.75" customHeight="1" x14ac:dyDescent="0.3">
      <c r="F940" s="14"/>
      <c r="G940" s="14"/>
      <c r="H940" s="14"/>
      <c r="I940" s="14"/>
    </row>
    <row r="941" spans="6:9" ht="15.75" customHeight="1" x14ac:dyDescent="0.3">
      <c r="F941" s="14"/>
      <c r="G941" s="14"/>
      <c r="H941" s="14"/>
      <c r="I941" s="14"/>
    </row>
    <row r="942" spans="6:9" ht="15.75" customHeight="1" x14ac:dyDescent="0.3">
      <c r="F942" s="14"/>
      <c r="G942" s="14"/>
      <c r="H942" s="14"/>
      <c r="I942" s="14"/>
    </row>
    <row r="943" spans="6:9" ht="15.75" customHeight="1" x14ac:dyDescent="0.3">
      <c r="F943" s="14"/>
      <c r="G943" s="14"/>
      <c r="H943" s="14"/>
      <c r="I943" s="14"/>
    </row>
    <row r="944" spans="6:9" ht="15.75" customHeight="1" x14ac:dyDescent="0.3">
      <c r="F944" s="14"/>
      <c r="G944" s="14"/>
      <c r="H944" s="14"/>
      <c r="I944" s="14"/>
    </row>
    <row r="945" spans="6:9" ht="15.75" customHeight="1" x14ac:dyDescent="0.3">
      <c r="F945" s="14"/>
      <c r="G945" s="14"/>
      <c r="H945" s="14"/>
      <c r="I945" s="14"/>
    </row>
    <row r="946" spans="6:9" ht="15.75" customHeight="1" x14ac:dyDescent="0.3">
      <c r="F946" s="14"/>
      <c r="G946" s="14"/>
      <c r="H946" s="14"/>
      <c r="I946" s="14"/>
    </row>
    <row r="947" spans="6:9" ht="15.75" customHeight="1" x14ac:dyDescent="0.3">
      <c r="F947" s="14"/>
      <c r="G947" s="14"/>
      <c r="H947" s="14"/>
      <c r="I947" s="14"/>
    </row>
    <row r="948" spans="6:9" ht="15.75" customHeight="1" x14ac:dyDescent="0.3">
      <c r="F948" s="14"/>
      <c r="G948" s="14"/>
      <c r="H948" s="14"/>
      <c r="I948" s="14"/>
    </row>
    <row r="949" spans="6:9" ht="15.75" customHeight="1" x14ac:dyDescent="0.3">
      <c r="F949" s="14"/>
      <c r="G949" s="14"/>
      <c r="H949" s="14"/>
      <c r="I949" s="14"/>
    </row>
    <row r="950" spans="6:9" ht="15.75" customHeight="1" x14ac:dyDescent="0.3">
      <c r="F950" s="14"/>
      <c r="G950" s="14"/>
      <c r="H950" s="14"/>
      <c r="I950" s="14"/>
    </row>
    <row r="951" spans="6:9" ht="15.75" customHeight="1" x14ac:dyDescent="0.3">
      <c r="F951" s="14"/>
      <c r="G951" s="14"/>
      <c r="H951" s="14"/>
      <c r="I951" s="14"/>
    </row>
    <row r="952" spans="6:9" ht="15.75" customHeight="1" x14ac:dyDescent="0.3">
      <c r="F952" s="14"/>
      <c r="G952" s="14"/>
      <c r="H952" s="14"/>
      <c r="I952" s="14"/>
    </row>
    <row r="953" spans="6:9" ht="15.75" customHeight="1" x14ac:dyDescent="0.3">
      <c r="F953" s="14"/>
      <c r="G953" s="14"/>
      <c r="H953" s="14"/>
      <c r="I953" s="14"/>
    </row>
    <row r="954" spans="6:9" ht="15.75" customHeight="1" x14ac:dyDescent="0.3">
      <c r="F954" s="14"/>
      <c r="G954" s="14"/>
      <c r="H954" s="14"/>
      <c r="I954" s="14"/>
    </row>
    <row r="955" spans="6:9" ht="15.75" customHeight="1" x14ac:dyDescent="0.3">
      <c r="F955" s="14"/>
      <c r="G955" s="14"/>
      <c r="H955" s="14"/>
      <c r="I955" s="14"/>
    </row>
    <row r="956" spans="6:9" ht="15.75" customHeight="1" x14ac:dyDescent="0.3">
      <c r="F956" s="14"/>
      <c r="G956" s="14"/>
      <c r="H956" s="14"/>
      <c r="I956" s="14"/>
    </row>
    <row r="957" spans="6:9" ht="15.75" customHeight="1" x14ac:dyDescent="0.3">
      <c r="F957" s="14"/>
      <c r="G957" s="14"/>
      <c r="H957" s="14"/>
      <c r="I957" s="14"/>
    </row>
    <row r="958" spans="6:9" ht="15.75" customHeight="1" x14ac:dyDescent="0.3">
      <c r="F958" s="14"/>
      <c r="G958" s="14"/>
      <c r="H958" s="14"/>
      <c r="I958" s="14"/>
    </row>
    <row r="959" spans="6:9" ht="15.75" customHeight="1" x14ac:dyDescent="0.3">
      <c r="F959" s="14"/>
      <c r="G959" s="14"/>
      <c r="H959" s="14"/>
      <c r="I959" s="14"/>
    </row>
    <row r="960" spans="6:9" ht="15.75" customHeight="1" x14ac:dyDescent="0.3">
      <c r="F960" s="14"/>
      <c r="G960" s="14"/>
      <c r="H960" s="14"/>
      <c r="I960" s="14"/>
    </row>
    <row r="961" spans="6:9" ht="15.75" customHeight="1" x14ac:dyDescent="0.3">
      <c r="F961" s="14"/>
      <c r="G961" s="14"/>
      <c r="H961" s="14"/>
      <c r="I961" s="14"/>
    </row>
    <row r="962" spans="6:9" ht="15.75" customHeight="1" x14ac:dyDescent="0.3">
      <c r="F962" s="14"/>
      <c r="G962" s="14"/>
      <c r="H962" s="14"/>
      <c r="I962" s="14"/>
    </row>
    <row r="963" spans="6:9" ht="15.75" customHeight="1" x14ac:dyDescent="0.3">
      <c r="F963" s="14"/>
      <c r="G963" s="14"/>
      <c r="H963" s="14"/>
      <c r="I963" s="14"/>
    </row>
    <row r="964" spans="6:9" ht="15.75" customHeight="1" x14ac:dyDescent="0.3">
      <c r="F964" s="14"/>
      <c r="G964" s="14"/>
      <c r="H964" s="14"/>
      <c r="I964" s="14"/>
    </row>
    <row r="965" spans="6:9" ht="15.75" customHeight="1" x14ac:dyDescent="0.3">
      <c r="F965" s="14"/>
      <c r="G965" s="14"/>
      <c r="H965" s="14"/>
      <c r="I965" s="14"/>
    </row>
    <row r="966" spans="6:9" ht="15.75" customHeight="1" x14ac:dyDescent="0.3">
      <c r="F966" s="14"/>
      <c r="G966" s="14"/>
      <c r="H966" s="14"/>
      <c r="I966" s="14"/>
    </row>
    <row r="967" spans="6:9" ht="15.75" customHeight="1" x14ac:dyDescent="0.3">
      <c r="F967" s="14"/>
      <c r="G967" s="14"/>
      <c r="H967" s="14"/>
      <c r="I967" s="14"/>
    </row>
    <row r="968" spans="6:9" ht="15.75" customHeight="1" x14ac:dyDescent="0.3">
      <c r="F968" s="14"/>
      <c r="G968" s="14"/>
      <c r="H968" s="14"/>
      <c r="I968" s="14"/>
    </row>
    <row r="969" spans="6:9" ht="15.75" customHeight="1" x14ac:dyDescent="0.3">
      <c r="F969" s="14"/>
      <c r="G969" s="14"/>
      <c r="H969" s="14"/>
      <c r="I969" s="14"/>
    </row>
    <row r="970" spans="6:9" ht="15.75" customHeight="1" x14ac:dyDescent="0.3">
      <c r="F970" s="14"/>
      <c r="G970" s="14"/>
      <c r="H970" s="14"/>
      <c r="I970" s="14"/>
    </row>
    <row r="971" spans="6:9" ht="15.75" customHeight="1" x14ac:dyDescent="0.3">
      <c r="F971" s="14"/>
      <c r="G971" s="14"/>
      <c r="H971" s="14"/>
      <c r="I971" s="14"/>
    </row>
    <row r="972" spans="6:9" ht="15.75" customHeight="1" x14ac:dyDescent="0.3">
      <c r="F972" s="14"/>
      <c r="G972" s="14"/>
      <c r="H972" s="14"/>
      <c r="I972" s="14"/>
    </row>
    <row r="973" spans="6:9" ht="15.75" customHeight="1" x14ac:dyDescent="0.3">
      <c r="F973" s="14"/>
      <c r="G973" s="14"/>
      <c r="H973" s="14"/>
      <c r="I973" s="14"/>
    </row>
    <row r="974" spans="6:9" ht="15.75" customHeight="1" x14ac:dyDescent="0.3">
      <c r="F974" s="14"/>
      <c r="G974" s="14"/>
      <c r="H974" s="14"/>
      <c r="I974" s="14"/>
    </row>
    <row r="975" spans="6:9" ht="15.75" customHeight="1" x14ac:dyDescent="0.3">
      <c r="F975" s="14"/>
      <c r="G975" s="14"/>
      <c r="H975" s="14"/>
      <c r="I975" s="14"/>
    </row>
    <row r="976" spans="6:9" ht="15.75" customHeight="1" x14ac:dyDescent="0.3">
      <c r="F976" s="14"/>
      <c r="G976" s="14"/>
      <c r="H976" s="14"/>
      <c r="I976" s="14"/>
    </row>
    <row r="977" spans="6:9" ht="15.75" customHeight="1" x14ac:dyDescent="0.3">
      <c r="F977" s="14"/>
      <c r="G977" s="14"/>
      <c r="H977" s="14"/>
      <c r="I977" s="14"/>
    </row>
    <row r="978" spans="6:9" ht="15.75" customHeight="1" x14ac:dyDescent="0.3">
      <c r="F978" s="14"/>
      <c r="G978" s="14"/>
      <c r="H978" s="14"/>
      <c r="I978" s="14"/>
    </row>
    <row r="979" spans="6:9" ht="15.75" customHeight="1" x14ac:dyDescent="0.3">
      <c r="F979" s="14"/>
      <c r="G979" s="14"/>
      <c r="H979" s="14"/>
      <c r="I979" s="14"/>
    </row>
    <row r="980" spans="6:9" ht="15.75" customHeight="1" x14ac:dyDescent="0.3">
      <c r="F980" s="14"/>
      <c r="G980" s="14"/>
      <c r="H980" s="14"/>
      <c r="I980" s="14"/>
    </row>
    <row r="981" spans="6:9" ht="15.75" customHeight="1" x14ac:dyDescent="0.3">
      <c r="F981" s="14"/>
      <c r="G981" s="14"/>
      <c r="H981" s="14"/>
      <c r="I981" s="14"/>
    </row>
    <row r="982" spans="6:9" ht="15.75" customHeight="1" x14ac:dyDescent="0.3">
      <c r="F982" s="14"/>
      <c r="G982" s="14"/>
      <c r="H982" s="14"/>
      <c r="I982" s="14"/>
    </row>
    <row r="983" spans="6:9" ht="15.75" customHeight="1" x14ac:dyDescent="0.3">
      <c r="F983" s="14"/>
      <c r="G983" s="14"/>
      <c r="H983" s="14"/>
      <c r="I983" s="14"/>
    </row>
    <row r="984" spans="6:9" ht="15.75" customHeight="1" x14ac:dyDescent="0.3">
      <c r="F984" s="14"/>
      <c r="G984" s="14"/>
      <c r="H984" s="14"/>
      <c r="I984" s="14"/>
    </row>
    <row r="985" spans="6:9" ht="15.75" customHeight="1" x14ac:dyDescent="0.3">
      <c r="F985" s="14"/>
      <c r="G985" s="14"/>
      <c r="H985" s="14"/>
      <c r="I985" s="14"/>
    </row>
    <row r="986" spans="6:9" ht="15.75" customHeight="1" x14ac:dyDescent="0.3">
      <c r="F986" s="14"/>
      <c r="G986" s="14"/>
      <c r="H986" s="14"/>
      <c r="I986" s="14"/>
    </row>
    <row r="987" spans="6:9" ht="15.75" customHeight="1" x14ac:dyDescent="0.3">
      <c r="F987" s="14"/>
      <c r="G987" s="14"/>
      <c r="H987" s="14"/>
      <c r="I987" s="14"/>
    </row>
    <row r="988" spans="6:9" ht="15.75" customHeight="1" x14ac:dyDescent="0.3">
      <c r="F988" s="14"/>
      <c r="G988" s="14"/>
      <c r="H988" s="14"/>
      <c r="I988" s="14"/>
    </row>
    <row r="989" spans="6:9" ht="15.75" customHeight="1" x14ac:dyDescent="0.3">
      <c r="F989" s="14"/>
      <c r="G989" s="14"/>
      <c r="H989" s="14"/>
      <c r="I989" s="14"/>
    </row>
    <row r="990" spans="6:9" ht="15.75" customHeight="1" x14ac:dyDescent="0.3">
      <c r="F990" s="14"/>
      <c r="G990" s="14"/>
      <c r="H990" s="14"/>
      <c r="I990" s="14"/>
    </row>
    <row r="991" spans="6:9" ht="15.75" customHeight="1" x14ac:dyDescent="0.3">
      <c r="F991" s="14"/>
      <c r="G991" s="14"/>
      <c r="H991" s="14"/>
      <c r="I991" s="14"/>
    </row>
    <row r="992" spans="6:9" ht="15.75" customHeight="1" x14ac:dyDescent="0.3">
      <c r="F992" s="14"/>
      <c r="G992" s="14"/>
      <c r="H992" s="14"/>
      <c r="I992" s="14"/>
    </row>
    <row r="993" spans="6:9" ht="15.75" customHeight="1" x14ac:dyDescent="0.3">
      <c r="F993" s="14"/>
      <c r="G993" s="14"/>
      <c r="H993" s="14"/>
      <c r="I993" s="14"/>
    </row>
    <row r="994" spans="6:9" ht="15.75" customHeight="1" x14ac:dyDescent="0.3">
      <c r="F994" s="14"/>
      <c r="G994" s="14"/>
      <c r="H994" s="14"/>
      <c r="I994" s="14"/>
    </row>
    <row r="995" spans="6:9" ht="15.75" customHeight="1" x14ac:dyDescent="0.3">
      <c r="F995" s="14"/>
      <c r="G995" s="14"/>
      <c r="H995" s="14"/>
      <c r="I995" s="14"/>
    </row>
    <row r="996" spans="6:9" ht="15.75" customHeight="1" x14ac:dyDescent="0.3">
      <c r="F996" s="14"/>
      <c r="G996" s="14"/>
      <c r="H996" s="14"/>
      <c r="I996" s="14"/>
    </row>
    <row r="997" spans="6:9" ht="15.75" customHeight="1" x14ac:dyDescent="0.3">
      <c r="F997" s="14"/>
      <c r="G997" s="14"/>
      <c r="H997" s="14"/>
      <c r="I997" s="14"/>
    </row>
    <row r="998" spans="6:9" ht="15.75" customHeight="1" x14ac:dyDescent="0.3">
      <c r="F998" s="14"/>
      <c r="G998" s="14"/>
      <c r="H998" s="14"/>
      <c r="I998" s="14"/>
    </row>
    <row r="999" spans="6:9" ht="15.75" customHeight="1" x14ac:dyDescent="0.3">
      <c r="F999" s="14"/>
      <c r="G999" s="14"/>
      <c r="H999" s="14"/>
      <c r="I999" s="14"/>
    </row>
    <row r="1000" spans="6:9" ht="15.75" customHeight="1" x14ac:dyDescent="0.3">
      <c r="F1000" s="14"/>
      <c r="G1000" s="14"/>
      <c r="H1000" s="14"/>
      <c r="I1000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all_ingredients</vt:lpstr>
      <vt:lpstr>sources</vt:lpstr>
      <vt:lpstr>trash fish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2025-09-08T01:05:26Z</dcterms:created>
  <dcterms:modified xsi:type="dcterms:W3CDTF">2026-07-29T04:12:26Z</dcterms:modified>
</cp:coreProperties>
</file>